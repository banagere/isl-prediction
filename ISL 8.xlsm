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avi/Documents/00-09 Meta/_clean/Others/Football Analysis/ISL/"/>
    </mc:Choice>
  </mc:AlternateContent>
  <xr:revisionPtr revIDLastSave="0" documentId="13_ncr:1_{17C739BA-4200-0640-99D2-B58356760C2F}" xr6:coauthVersionLast="47" xr6:coauthVersionMax="47" xr10:uidLastSave="{00000000-0000-0000-0000-000000000000}"/>
  <bookViews>
    <workbookView xWindow="5500" yWindow="820" windowWidth="28800" windowHeight="17500" tabRatio="500" activeTab="4" xr2:uid="{00000000-000D-0000-FFFF-FFFF00000000}"/>
  </bookViews>
  <sheets>
    <sheet name="ISL 8" sheetId="58" r:id="rId1"/>
    <sheet name="ISL Total" sheetId="54" state="hidden" r:id="rId2"/>
    <sheet name="Monte Carlo Matches" sheetId="55" state="hidden" r:id="rId3"/>
    <sheet name="Monte Carlo Season" sheetId="43" state="hidden" r:id="rId4"/>
    <sheet name="Table" sheetId="44" r:id="rId5"/>
  </sheets>
  <definedNames>
    <definedName name="_xlnm._FilterDatabase" localSheetId="0" hidden="1">'ISL 8'!$P$2:$AJ$16</definedName>
    <definedName name="_xlnm._FilterDatabase" localSheetId="2" hidden="1">'Monte Carlo Matches'!$A$2:$BI$112</definedName>
  </definedNames>
  <calcPr calcId="191029" calcMode="manual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0" i="44" l="1"/>
  <c r="P9" i="44"/>
  <c r="P7" i="44"/>
  <c r="P6" i="44"/>
  <c r="E1" i="58"/>
  <c r="K118" i="58"/>
  <c r="L118" i="58"/>
  <c r="K4" i="58"/>
  <c r="K117" i="58"/>
  <c r="L117" i="58"/>
  <c r="K116" i="58"/>
  <c r="L116" i="58"/>
  <c r="K115" i="58"/>
  <c r="L115" i="58"/>
  <c r="K114" i="58"/>
  <c r="L114" i="58"/>
  <c r="K112" i="58"/>
  <c r="L112" i="58"/>
  <c r="K111" i="58"/>
  <c r="L111" i="58"/>
  <c r="K110" i="58"/>
  <c r="L110" i="58"/>
  <c r="K109" i="58"/>
  <c r="L109" i="58"/>
  <c r="K108" i="58"/>
  <c r="L108" i="58"/>
  <c r="K107" i="58"/>
  <c r="L107" i="58"/>
  <c r="K106" i="58"/>
  <c r="L106" i="58"/>
  <c r="K105" i="58"/>
  <c r="L105" i="58"/>
  <c r="K104" i="58"/>
  <c r="L104" i="58"/>
  <c r="K103" i="58"/>
  <c r="L103" i="58"/>
  <c r="K102" i="58"/>
  <c r="L102" i="58"/>
  <c r="K101" i="58"/>
  <c r="L101" i="58"/>
  <c r="K100" i="58"/>
  <c r="L100" i="58"/>
  <c r="K99" i="58"/>
  <c r="L99" i="58"/>
  <c r="K98" i="58"/>
  <c r="L98" i="58"/>
  <c r="K97" i="58"/>
  <c r="L97" i="58"/>
  <c r="K96" i="58"/>
  <c r="L96" i="58"/>
  <c r="K95" i="58"/>
  <c r="L95" i="58"/>
  <c r="K94" i="58"/>
  <c r="L94" i="58"/>
  <c r="K93" i="58"/>
  <c r="L93" i="58"/>
  <c r="Q6" i="44" l="1"/>
  <c r="Q7" i="44"/>
  <c r="AQ3" i="54"/>
  <c r="AQ2" i="54"/>
  <c r="E26" i="44"/>
  <c r="S6" i="44" l="1"/>
  <c r="AQ4" i="54"/>
  <c r="AA70" i="54" l="1"/>
  <c r="AA69" i="54"/>
  <c r="AA68" i="54"/>
  <c r="AA67" i="54"/>
  <c r="AA66" i="54"/>
  <c r="AA65" i="54"/>
  <c r="AA64" i="54"/>
  <c r="AA63" i="54"/>
  <c r="AA62" i="54"/>
  <c r="AA61" i="54"/>
  <c r="Z70" i="54"/>
  <c r="Z69" i="54"/>
  <c r="Z68" i="54"/>
  <c r="Z67" i="54"/>
  <c r="Z66" i="54"/>
  <c r="Z65" i="54"/>
  <c r="Z64" i="54"/>
  <c r="Z63" i="54"/>
  <c r="Z62" i="54"/>
  <c r="Z61" i="54"/>
  <c r="Y70" i="54"/>
  <c r="Y69" i="54"/>
  <c r="Y68" i="54"/>
  <c r="Y67" i="54"/>
  <c r="Y66" i="54"/>
  <c r="Y65" i="54"/>
  <c r="Y64" i="54"/>
  <c r="Y63" i="54"/>
  <c r="Y62" i="54"/>
  <c r="Y61" i="54"/>
  <c r="X70" i="54"/>
  <c r="X69" i="54"/>
  <c r="X68" i="54"/>
  <c r="X67" i="54"/>
  <c r="X66" i="54"/>
  <c r="X65" i="54"/>
  <c r="X64" i="54"/>
  <c r="X63" i="54"/>
  <c r="X62" i="54"/>
  <c r="X61" i="54"/>
  <c r="A101" i="55" l="1"/>
  <c r="A103" i="55"/>
  <c r="M5" i="58"/>
  <c r="M6" i="58"/>
  <c r="M7" i="58"/>
  <c r="M8" i="58"/>
  <c r="M9" i="58"/>
  <c r="M10" i="58"/>
  <c r="M11" i="58"/>
  <c r="M12" i="58"/>
  <c r="M13" i="58"/>
  <c r="M14" i="58"/>
  <c r="M15" i="58"/>
  <c r="M16" i="58"/>
  <c r="M17" i="58"/>
  <c r="M18" i="58"/>
  <c r="M19" i="58"/>
  <c r="M20" i="58"/>
  <c r="M21" i="58"/>
  <c r="M22" i="58"/>
  <c r="M23" i="58"/>
  <c r="M24" i="58"/>
  <c r="M25" i="58"/>
  <c r="M26" i="58"/>
  <c r="M27" i="58"/>
  <c r="M28" i="58"/>
  <c r="M29" i="58"/>
  <c r="M30" i="58"/>
  <c r="M31" i="58"/>
  <c r="M32" i="58"/>
  <c r="M33" i="58"/>
  <c r="M34" i="58"/>
  <c r="M35" i="58"/>
  <c r="M36" i="58"/>
  <c r="M37" i="58"/>
  <c r="M38" i="58"/>
  <c r="M39" i="58"/>
  <c r="M40" i="58"/>
  <c r="M41" i="58"/>
  <c r="M42" i="58"/>
  <c r="M43" i="58"/>
  <c r="M44" i="58"/>
  <c r="M45" i="58"/>
  <c r="M46" i="58"/>
  <c r="M47" i="58"/>
  <c r="M48" i="58"/>
  <c r="M49" i="58"/>
  <c r="M50" i="58"/>
  <c r="M51" i="58"/>
  <c r="M52" i="58"/>
  <c r="M53" i="58"/>
  <c r="M54" i="58"/>
  <c r="M55" i="58"/>
  <c r="M56" i="58"/>
  <c r="M57" i="58"/>
  <c r="M58" i="58"/>
  <c r="M59" i="58"/>
  <c r="M60" i="58"/>
  <c r="M61" i="58"/>
  <c r="M62" i="58"/>
  <c r="M63" i="58"/>
  <c r="M64" i="58"/>
  <c r="M65" i="58"/>
  <c r="M66" i="58"/>
  <c r="M67" i="58"/>
  <c r="M68" i="58"/>
  <c r="M69" i="58"/>
  <c r="M70" i="58"/>
  <c r="M71" i="58"/>
  <c r="M72" i="58"/>
  <c r="M73" i="58"/>
  <c r="M74" i="58"/>
  <c r="M75" i="58"/>
  <c r="M76" i="58"/>
  <c r="M77" i="58"/>
  <c r="M78" i="58"/>
  <c r="M79" i="58"/>
  <c r="M80" i="58"/>
  <c r="M81" i="58"/>
  <c r="M82" i="58"/>
  <c r="M83" i="58"/>
  <c r="M84" i="58"/>
  <c r="M85" i="58"/>
  <c r="M86" i="58"/>
  <c r="M87" i="58"/>
  <c r="M88" i="58"/>
  <c r="M89" i="58"/>
  <c r="M90" i="58"/>
  <c r="M91" i="58"/>
  <c r="M92" i="58"/>
  <c r="M93" i="58"/>
  <c r="M94" i="58"/>
  <c r="M95" i="58"/>
  <c r="M96" i="58"/>
  <c r="M97" i="58"/>
  <c r="M98" i="58"/>
  <c r="M99" i="58"/>
  <c r="M100" i="58"/>
  <c r="M101" i="58"/>
  <c r="M102" i="58"/>
  <c r="M103" i="58"/>
  <c r="M104" i="58"/>
  <c r="M105" i="58"/>
  <c r="M106" i="58"/>
  <c r="M107" i="58"/>
  <c r="M108" i="58"/>
  <c r="M109" i="58"/>
  <c r="M110" i="58"/>
  <c r="M111" i="58"/>
  <c r="M112" i="58"/>
  <c r="M113" i="58"/>
  <c r="M4" i="58"/>
  <c r="A58" i="55" l="1"/>
  <c r="A59" i="55"/>
  <c r="A60" i="55"/>
  <c r="A61" i="55"/>
  <c r="A62" i="55"/>
  <c r="A63" i="55"/>
  <c r="A64" i="55"/>
  <c r="A65" i="55"/>
  <c r="A66" i="55"/>
  <c r="A67" i="55"/>
  <c r="A68" i="55"/>
  <c r="A69" i="55"/>
  <c r="A70" i="55"/>
  <c r="A71" i="55"/>
  <c r="A72" i="55"/>
  <c r="A73" i="55"/>
  <c r="A74" i="55"/>
  <c r="A75" i="55"/>
  <c r="A76" i="55"/>
  <c r="A77" i="55"/>
  <c r="A78" i="55"/>
  <c r="A79" i="55"/>
  <c r="A80" i="55"/>
  <c r="A81" i="55"/>
  <c r="A82" i="55"/>
  <c r="A83" i="55"/>
  <c r="A84" i="55"/>
  <c r="A85" i="55"/>
  <c r="A86" i="55"/>
  <c r="A87" i="55"/>
  <c r="A88" i="55"/>
  <c r="A89" i="55"/>
  <c r="A90" i="55"/>
  <c r="A91" i="55"/>
  <c r="A92" i="55"/>
  <c r="A93" i="55"/>
  <c r="A94" i="55"/>
  <c r="A95" i="55"/>
  <c r="A96" i="55"/>
  <c r="A97" i="55"/>
  <c r="A98" i="55"/>
  <c r="A99" i="55"/>
  <c r="A100" i="55"/>
  <c r="A102" i="55"/>
  <c r="E58" i="55"/>
  <c r="E59" i="55"/>
  <c r="E60" i="55"/>
  <c r="E61" i="55"/>
  <c r="E62" i="55"/>
  <c r="E63" i="55"/>
  <c r="E64" i="55"/>
  <c r="E65" i="55"/>
  <c r="E66" i="55"/>
  <c r="E67" i="55"/>
  <c r="E68" i="55"/>
  <c r="E69" i="55"/>
  <c r="E70" i="55"/>
  <c r="E71" i="55"/>
  <c r="E72" i="55"/>
  <c r="E73" i="55"/>
  <c r="E74" i="55"/>
  <c r="E75" i="55"/>
  <c r="E76" i="55"/>
  <c r="E77" i="55"/>
  <c r="E78" i="55"/>
  <c r="E79" i="55"/>
  <c r="E80" i="55"/>
  <c r="E81" i="55"/>
  <c r="E82" i="55"/>
  <c r="E83" i="55"/>
  <c r="E84" i="55"/>
  <c r="E85" i="55"/>
  <c r="E86" i="55"/>
  <c r="E87" i="55"/>
  <c r="E88" i="55"/>
  <c r="E89" i="55"/>
  <c r="E90" i="55"/>
  <c r="E91" i="55"/>
  <c r="E92" i="55"/>
  <c r="E93" i="55"/>
  <c r="E94" i="55"/>
  <c r="E95" i="55"/>
  <c r="E96" i="55"/>
  <c r="E97" i="55"/>
  <c r="E98" i="55"/>
  <c r="E99" i="55"/>
  <c r="E100" i="55"/>
  <c r="E101" i="55"/>
  <c r="E102" i="55"/>
  <c r="E103" i="55"/>
  <c r="E104" i="55"/>
  <c r="E105" i="55"/>
  <c r="E106" i="55"/>
  <c r="E107" i="55"/>
  <c r="E108" i="55"/>
  <c r="E109" i="55"/>
  <c r="E110" i="55"/>
  <c r="E111" i="55"/>
  <c r="E112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B93" i="55" l="1"/>
  <c r="B94" i="55"/>
  <c r="BA94" i="55"/>
  <c r="B95" i="55"/>
  <c r="B96" i="55"/>
  <c r="B97" i="55"/>
  <c r="B98" i="55"/>
  <c r="B99" i="55"/>
  <c r="BA99" i="55"/>
  <c r="B100" i="55"/>
  <c r="BA100" i="55"/>
  <c r="B101" i="55"/>
  <c r="BA101" i="55"/>
  <c r="B102" i="55"/>
  <c r="BA102" i="55"/>
  <c r="B103" i="55"/>
  <c r="B104" i="55"/>
  <c r="B105" i="55"/>
  <c r="B106" i="55"/>
  <c r="B107" i="55"/>
  <c r="BA107" i="55"/>
  <c r="B108" i="55"/>
  <c r="BA108" i="55"/>
  <c r="B109" i="55"/>
  <c r="BA109" i="55"/>
  <c r="B110" i="55"/>
  <c r="BA110" i="55"/>
  <c r="B111" i="55"/>
  <c r="BA111" i="55"/>
  <c r="B112" i="55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B36" i="55"/>
  <c r="B37" i="55"/>
  <c r="B38" i="55"/>
  <c r="B39" i="55"/>
  <c r="B40" i="55"/>
  <c r="B41" i="55"/>
  <c r="B42" i="55"/>
  <c r="B43" i="55"/>
  <c r="B44" i="55"/>
  <c r="B45" i="55"/>
  <c r="B46" i="55"/>
  <c r="B47" i="55"/>
  <c r="B48" i="55"/>
  <c r="B49" i="55"/>
  <c r="B50" i="55"/>
  <c r="B51" i="55"/>
  <c r="B52" i="55"/>
  <c r="B53" i="55"/>
  <c r="B54" i="55"/>
  <c r="B55" i="55"/>
  <c r="B56" i="55"/>
  <c r="B57" i="55"/>
  <c r="B58" i="55"/>
  <c r="B59" i="55"/>
  <c r="B60" i="55"/>
  <c r="B61" i="55"/>
  <c r="B62" i="55"/>
  <c r="B63" i="55"/>
  <c r="B64" i="55"/>
  <c r="B65" i="55"/>
  <c r="B66" i="55"/>
  <c r="B67" i="55"/>
  <c r="B68" i="55"/>
  <c r="B69" i="55"/>
  <c r="B70" i="55"/>
  <c r="B71" i="55"/>
  <c r="B72" i="55"/>
  <c r="B73" i="55"/>
  <c r="B74" i="55"/>
  <c r="B75" i="55"/>
  <c r="B76" i="55"/>
  <c r="B77" i="55"/>
  <c r="B78" i="55"/>
  <c r="B79" i="55"/>
  <c r="B80" i="55"/>
  <c r="B81" i="55"/>
  <c r="B82" i="55"/>
  <c r="B83" i="55"/>
  <c r="B84" i="55"/>
  <c r="B85" i="55"/>
  <c r="B86" i="55"/>
  <c r="B87" i="55"/>
  <c r="B88" i="55"/>
  <c r="B89" i="55"/>
  <c r="B90" i="55"/>
  <c r="B91" i="55"/>
  <c r="B92" i="55"/>
  <c r="B3" i="55"/>
  <c r="K113" i="58"/>
  <c r="L113" i="58"/>
  <c r="E106" i="43"/>
  <c r="J15" i="44" s="1"/>
  <c r="A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39" i="55"/>
  <c r="A40" i="55"/>
  <c r="A41" i="55"/>
  <c r="A42" i="55"/>
  <c r="A43" i="55"/>
  <c r="A44" i="55"/>
  <c r="A45" i="55"/>
  <c r="A46" i="55"/>
  <c r="A47" i="55"/>
  <c r="A48" i="55"/>
  <c r="A49" i="55"/>
  <c r="A50" i="55"/>
  <c r="A51" i="55"/>
  <c r="A52" i="55"/>
  <c r="A53" i="55"/>
  <c r="A54" i="55"/>
  <c r="A55" i="55"/>
  <c r="A56" i="55"/>
  <c r="A57" i="55"/>
  <c r="A3" i="55"/>
  <c r="E4" i="55"/>
  <c r="E5" i="55"/>
  <c r="E6" i="55"/>
  <c r="E7" i="55"/>
  <c r="E8" i="55"/>
  <c r="E9" i="55"/>
  <c r="E10" i="55"/>
  <c r="E11" i="55"/>
  <c r="E12" i="55"/>
  <c r="E13" i="55"/>
  <c r="E14" i="55"/>
  <c r="E15" i="55"/>
  <c r="E16" i="55"/>
  <c r="E17" i="55"/>
  <c r="E18" i="55"/>
  <c r="E19" i="55"/>
  <c r="E20" i="55"/>
  <c r="E21" i="55"/>
  <c r="E22" i="55"/>
  <c r="E23" i="55"/>
  <c r="E24" i="55"/>
  <c r="E25" i="55"/>
  <c r="E26" i="55"/>
  <c r="E27" i="55"/>
  <c r="E28" i="55"/>
  <c r="E29" i="55"/>
  <c r="E30" i="55"/>
  <c r="E31" i="55"/>
  <c r="E32" i="55"/>
  <c r="E33" i="55"/>
  <c r="E34" i="55"/>
  <c r="E35" i="55"/>
  <c r="E36" i="55"/>
  <c r="E37" i="55"/>
  <c r="E38" i="55"/>
  <c r="E39" i="55"/>
  <c r="E40" i="55"/>
  <c r="E41" i="55"/>
  <c r="E42" i="55"/>
  <c r="E43" i="55"/>
  <c r="E44" i="55"/>
  <c r="E45" i="55"/>
  <c r="E46" i="55"/>
  <c r="E47" i="55"/>
  <c r="E48" i="55"/>
  <c r="E49" i="55"/>
  <c r="E50" i="55"/>
  <c r="E51" i="55"/>
  <c r="E52" i="55"/>
  <c r="E53" i="55"/>
  <c r="E54" i="55"/>
  <c r="E55" i="55"/>
  <c r="E56" i="55"/>
  <c r="E57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E3" i="55"/>
  <c r="C3" i="55"/>
  <c r="R16" i="58"/>
  <c r="T16" i="58"/>
  <c r="V16" i="58"/>
  <c r="X16" i="58"/>
  <c r="Q16" i="58"/>
  <c r="S16" i="58"/>
  <c r="U16" i="58"/>
  <c r="W16" i="58"/>
  <c r="Q8" i="58"/>
  <c r="E27" i="54" s="1"/>
  <c r="R8" i="58"/>
  <c r="F27" i="54" s="1"/>
  <c r="Y8" i="58"/>
  <c r="M27" i="54" s="1"/>
  <c r="Z8" i="58"/>
  <c r="N27" i="54" s="1"/>
  <c r="N8" i="54" s="1"/>
  <c r="AA8" i="58"/>
  <c r="O27" i="54" s="1"/>
  <c r="AB8" i="58"/>
  <c r="P27" i="54" s="1"/>
  <c r="P8" i="54" s="1"/>
  <c r="R5" i="58"/>
  <c r="F24" i="54" s="1"/>
  <c r="Q5" i="58"/>
  <c r="E24" i="54" s="1"/>
  <c r="L4" i="58"/>
  <c r="E5" i="54" l="1"/>
  <c r="Q24" i="54"/>
  <c r="O8" i="54"/>
  <c r="V27" i="54"/>
  <c r="Z27" i="54"/>
  <c r="E8" i="54"/>
  <c r="X27" i="54"/>
  <c r="Q27" i="54"/>
  <c r="F5" i="54"/>
  <c r="Y27" i="54"/>
  <c r="F8" i="54"/>
  <c r="AA27" i="54"/>
  <c r="U27" i="54"/>
  <c r="M8" i="54"/>
  <c r="A104" i="55"/>
  <c r="BA93" i="55"/>
  <c r="BA97" i="55"/>
  <c r="BA104" i="55"/>
  <c r="BA96" i="55"/>
  <c r="BA112" i="55"/>
  <c r="BA106" i="55"/>
  <c r="BA105" i="55"/>
  <c r="BA98" i="55"/>
  <c r="BA95" i="55"/>
  <c r="BA103" i="55"/>
  <c r="AH8" i="58"/>
  <c r="AC8" i="58"/>
  <c r="AA45" i="54"/>
  <c r="AG8" i="58"/>
  <c r="Y45" i="54"/>
  <c r="W27" i="54" l="1"/>
  <c r="Z45" i="54"/>
  <c r="A105" i="55"/>
  <c r="X45" i="54"/>
  <c r="Y8" i="54"/>
  <c r="Q5" i="54"/>
  <c r="AI8" i="58"/>
  <c r="G15" i="44" s="1"/>
  <c r="Q45" i="54"/>
  <c r="U45" i="54"/>
  <c r="V45" i="54"/>
  <c r="X8" i="54" l="1"/>
  <c r="A106" i="55"/>
  <c r="Q8" i="54"/>
  <c r="V8" i="54"/>
  <c r="U8" i="54"/>
  <c r="W45" i="54"/>
  <c r="A107" i="55" l="1"/>
  <c r="W8" i="54"/>
  <c r="Q42" i="54"/>
  <c r="A108" i="55" l="1"/>
  <c r="A109" i="55" l="1"/>
  <c r="C106" i="43"/>
  <c r="J10" i="44" s="1"/>
  <c r="D106" i="43"/>
  <c r="J12" i="44" s="1"/>
  <c r="F106" i="43"/>
  <c r="J14" i="44" s="1"/>
  <c r="G106" i="43"/>
  <c r="J7" i="44" s="1"/>
  <c r="H106" i="43"/>
  <c r="J9" i="44" s="1"/>
  <c r="I106" i="43"/>
  <c r="J11" i="44" s="1"/>
  <c r="J106" i="43"/>
  <c r="J8" i="44" s="1"/>
  <c r="K106" i="43"/>
  <c r="J16" i="44" s="1"/>
  <c r="L106" i="43"/>
  <c r="J13" i="44" s="1"/>
  <c r="B106" i="43"/>
  <c r="J6" i="44" s="1"/>
  <c r="A110" i="55" l="1"/>
  <c r="K15" i="44"/>
  <c r="K14" i="44"/>
  <c r="K6" i="44"/>
  <c r="K7" i="44"/>
  <c r="K12" i="44"/>
  <c r="K13" i="44"/>
  <c r="K10" i="44"/>
  <c r="K8" i="44"/>
  <c r="K11" i="44"/>
  <c r="K16" i="44"/>
  <c r="K9" i="44"/>
  <c r="AB15" i="58"/>
  <c r="P34" i="54" s="1"/>
  <c r="P15" i="54" s="1"/>
  <c r="AA15" i="58"/>
  <c r="O34" i="54" s="1"/>
  <c r="Z15" i="58"/>
  <c r="N34" i="54" s="1"/>
  <c r="N15" i="54" s="1"/>
  <c r="Y15" i="58"/>
  <c r="M34" i="54" s="1"/>
  <c r="R15" i="58"/>
  <c r="F34" i="54" s="1"/>
  <c r="Q15" i="58"/>
  <c r="E34" i="54" s="1"/>
  <c r="AB14" i="58"/>
  <c r="P33" i="54" s="1"/>
  <c r="AA14" i="58"/>
  <c r="O33" i="54" s="1"/>
  <c r="Z14" i="58"/>
  <c r="N33" i="54" s="1"/>
  <c r="N14" i="54" s="1"/>
  <c r="Y14" i="58"/>
  <c r="M33" i="54" s="1"/>
  <c r="R14" i="58"/>
  <c r="F33" i="54" s="1"/>
  <c r="Q14" i="58"/>
  <c r="E33" i="54" s="1"/>
  <c r="AB13" i="58"/>
  <c r="P32" i="54" s="1"/>
  <c r="P13" i="54" s="1"/>
  <c r="AA13" i="58"/>
  <c r="O32" i="54" s="1"/>
  <c r="Z13" i="58"/>
  <c r="N32" i="54" s="1"/>
  <c r="N13" i="54" s="1"/>
  <c r="Y13" i="58"/>
  <c r="M32" i="54" s="1"/>
  <c r="R13" i="58"/>
  <c r="F32" i="54" s="1"/>
  <c r="Q13" i="58"/>
  <c r="E32" i="54" s="1"/>
  <c r="AB12" i="58"/>
  <c r="P31" i="54" s="1"/>
  <c r="P12" i="54" s="1"/>
  <c r="AA12" i="58"/>
  <c r="O31" i="54" s="1"/>
  <c r="Z12" i="58"/>
  <c r="N31" i="54" s="1"/>
  <c r="N12" i="54" s="1"/>
  <c r="Y12" i="58"/>
  <c r="M31" i="54" s="1"/>
  <c r="R12" i="58"/>
  <c r="F31" i="54" s="1"/>
  <c r="Q12" i="58"/>
  <c r="E31" i="54" s="1"/>
  <c r="AB11" i="58"/>
  <c r="P30" i="54" s="1"/>
  <c r="AA11" i="58"/>
  <c r="O30" i="54" s="1"/>
  <c r="O11" i="54" s="1"/>
  <c r="Z11" i="58"/>
  <c r="N30" i="54" s="1"/>
  <c r="N11" i="54" s="1"/>
  <c r="Y11" i="58"/>
  <c r="M30" i="54" s="1"/>
  <c r="R11" i="58"/>
  <c r="F30" i="54" s="1"/>
  <c r="Q11" i="58"/>
  <c r="E30" i="54" s="1"/>
  <c r="AB10" i="58"/>
  <c r="P29" i="54" s="1"/>
  <c r="AA10" i="58"/>
  <c r="O29" i="54" s="1"/>
  <c r="Z10" i="58"/>
  <c r="N29" i="54" s="1"/>
  <c r="N10" i="54" s="1"/>
  <c r="Y10" i="58"/>
  <c r="M29" i="54" s="1"/>
  <c r="R10" i="58"/>
  <c r="F29" i="54" s="1"/>
  <c r="Q10" i="58"/>
  <c r="E29" i="54" s="1"/>
  <c r="AB9" i="58"/>
  <c r="P28" i="54" s="1"/>
  <c r="P9" i="54" s="1"/>
  <c r="AA9" i="58"/>
  <c r="O28" i="54" s="1"/>
  <c r="Z9" i="58"/>
  <c r="N28" i="54" s="1"/>
  <c r="N9" i="54" s="1"/>
  <c r="Y9" i="58"/>
  <c r="M28" i="54" s="1"/>
  <c r="R9" i="58"/>
  <c r="F28" i="54" s="1"/>
  <c r="Q9" i="58"/>
  <c r="E28" i="54" s="1"/>
  <c r="AB7" i="58"/>
  <c r="P26" i="54" s="1"/>
  <c r="AA7" i="58"/>
  <c r="O26" i="54" s="1"/>
  <c r="O7" i="54" s="1"/>
  <c r="Z7" i="58"/>
  <c r="N26" i="54" s="1"/>
  <c r="N7" i="54" s="1"/>
  <c r="Y7" i="58"/>
  <c r="M26" i="54" s="1"/>
  <c r="R7" i="58"/>
  <c r="F26" i="54" s="1"/>
  <c r="Q7" i="58"/>
  <c r="E26" i="54" s="1"/>
  <c r="AB6" i="58"/>
  <c r="P25" i="54" s="1"/>
  <c r="AA6" i="58"/>
  <c r="O25" i="54" s="1"/>
  <c r="Z6" i="58"/>
  <c r="N25" i="54" s="1"/>
  <c r="N6" i="54" s="1"/>
  <c r="Y6" i="58"/>
  <c r="M25" i="54" s="1"/>
  <c r="R6" i="58"/>
  <c r="F25" i="54" s="1"/>
  <c r="Q6" i="58"/>
  <c r="E25" i="54" s="1"/>
  <c r="U25" i="54" l="1"/>
  <c r="M6" i="54"/>
  <c r="AA29" i="54"/>
  <c r="F10" i="54"/>
  <c r="Y29" i="54"/>
  <c r="AA33" i="54"/>
  <c r="F14" i="54"/>
  <c r="Y14" i="54" s="1"/>
  <c r="Y33" i="54"/>
  <c r="Z32" i="54"/>
  <c r="E13" i="54"/>
  <c r="X32" i="54"/>
  <c r="Q32" i="54"/>
  <c r="U33" i="54"/>
  <c r="M14" i="54"/>
  <c r="V34" i="54"/>
  <c r="O15" i="54"/>
  <c r="E10" i="54"/>
  <c r="X29" i="54"/>
  <c r="Q29" i="54"/>
  <c r="E14" i="54"/>
  <c r="X33" i="54"/>
  <c r="Q33" i="54"/>
  <c r="Z28" i="54"/>
  <c r="E9" i="54"/>
  <c r="Q28" i="54"/>
  <c r="X28" i="54"/>
  <c r="U29" i="54"/>
  <c r="M10" i="54"/>
  <c r="V25" i="54"/>
  <c r="P6" i="54"/>
  <c r="AA28" i="54"/>
  <c r="F9" i="54"/>
  <c r="Y28" i="54"/>
  <c r="V30" i="54"/>
  <c r="P11" i="54"/>
  <c r="AA32" i="54"/>
  <c r="F13" i="54"/>
  <c r="Y32" i="54"/>
  <c r="U30" i="54"/>
  <c r="M11" i="54"/>
  <c r="V26" i="54"/>
  <c r="P7" i="54"/>
  <c r="Z25" i="54"/>
  <c r="O6" i="54"/>
  <c r="E7" i="54"/>
  <c r="Z26" i="54"/>
  <c r="X26" i="54"/>
  <c r="Q26" i="54"/>
  <c r="U28" i="54"/>
  <c r="M9" i="54"/>
  <c r="Z29" i="54"/>
  <c r="O10" i="54"/>
  <c r="Z31" i="54"/>
  <c r="E12" i="54"/>
  <c r="X31" i="54"/>
  <c r="Q31" i="54"/>
  <c r="U32" i="54"/>
  <c r="M13" i="54"/>
  <c r="Z33" i="54"/>
  <c r="O14" i="54"/>
  <c r="Q25" i="54"/>
  <c r="F6" i="54"/>
  <c r="Y25" i="54"/>
  <c r="AA25" i="54"/>
  <c r="V31" i="54"/>
  <c r="O12" i="54"/>
  <c r="F7" i="54"/>
  <c r="Y26" i="54"/>
  <c r="AA26" i="54"/>
  <c r="V29" i="54"/>
  <c r="P10" i="54"/>
  <c r="Y31" i="54"/>
  <c r="F12" i="54"/>
  <c r="AA31" i="54"/>
  <c r="V33" i="54"/>
  <c r="P14" i="54"/>
  <c r="U34" i="54"/>
  <c r="M15" i="54"/>
  <c r="E6" i="54"/>
  <c r="X25" i="54"/>
  <c r="U26" i="54"/>
  <c r="W26" i="54" s="1"/>
  <c r="M7" i="54"/>
  <c r="V28" i="54"/>
  <c r="O9" i="54"/>
  <c r="X30" i="54"/>
  <c r="E11" i="54"/>
  <c r="Z30" i="54"/>
  <c r="Q30" i="54"/>
  <c r="U31" i="54"/>
  <c r="W31" i="54" s="1"/>
  <c r="M12" i="54"/>
  <c r="O13" i="54"/>
  <c r="V32" i="54"/>
  <c r="X34" i="54"/>
  <c r="E15" i="54"/>
  <c r="Z34" i="54"/>
  <c r="Q34" i="54"/>
  <c r="F11" i="54"/>
  <c r="Y30" i="54"/>
  <c r="AA30" i="54"/>
  <c r="AA34" i="54"/>
  <c r="F15" i="54"/>
  <c r="Y34" i="54"/>
  <c r="Z49" i="54"/>
  <c r="Z50" i="54"/>
  <c r="Z44" i="54"/>
  <c r="Z47" i="54"/>
  <c r="Z46" i="54"/>
  <c r="Z43" i="54"/>
  <c r="AA44" i="54"/>
  <c r="Y47" i="54"/>
  <c r="AA47" i="54"/>
  <c r="Y51" i="54"/>
  <c r="AA51" i="54"/>
  <c r="Y46" i="54"/>
  <c r="AA46" i="54"/>
  <c r="Y50" i="54"/>
  <c r="AA50" i="54"/>
  <c r="Y49" i="54"/>
  <c r="AA49" i="54"/>
  <c r="Z48" i="54"/>
  <c r="Z52" i="54"/>
  <c r="AA43" i="54"/>
  <c r="Y48" i="54"/>
  <c r="AA48" i="54"/>
  <c r="Y52" i="54"/>
  <c r="AA52" i="54"/>
  <c r="Z51" i="54"/>
  <c r="Y43" i="54"/>
  <c r="Y44" i="54"/>
  <c r="A111" i="55"/>
  <c r="X47" i="54"/>
  <c r="X51" i="54"/>
  <c r="X46" i="54"/>
  <c r="X50" i="54"/>
  <c r="X44" i="54"/>
  <c r="X49" i="54"/>
  <c r="X43" i="54"/>
  <c r="X48" i="54"/>
  <c r="X52" i="54"/>
  <c r="Q52" i="54"/>
  <c r="Q43" i="54"/>
  <c r="Q50" i="54"/>
  <c r="Q46" i="54"/>
  <c r="U44" i="54"/>
  <c r="V46" i="54"/>
  <c r="Q48" i="54"/>
  <c r="U49" i="54"/>
  <c r="V50" i="54"/>
  <c r="U43" i="54"/>
  <c r="V44" i="54"/>
  <c r="Q47" i="54"/>
  <c r="U48" i="54"/>
  <c r="V49" i="54"/>
  <c r="Q51" i="54"/>
  <c r="U52" i="54"/>
  <c r="U47" i="54"/>
  <c r="V48" i="54"/>
  <c r="U51" i="54"/>
  <c r="V52" i="54"/>
  <c r="Q44" i="54"/>
  <c r="U46" i="54"/>
  <c r="V47" i="54"/>
  <c r="Q49" i="54"/>
  <c r="U50" i="54"/>
  <c r="V51" i="54"/>
  <c r="V43" i="54"/>
  <c r="W30" i="54" l="1"/>
  <c r="Q35" i="54"/>
  <c r="W33" i="54"/>
  <c r="W34" i="54"/>
  <c r="W29" i="54"/>
  <c r="W32" i="54"/>
  <c r="W28" i="54"/>
  <c r="W25" i="54"/>
  <c r="Y13" i="54"/>
  <c r="Y11" i="54"/>
  <c r="Y9" i="54"/>
  <c r="Y7" i="54"/>
  <c r="Y12" i="54"/>
  <c r="Y6" i="54"/>
  <c r="A112" i="55"/>
  <c r="X12" i="54"/>
  <c r="X14" i="54"/>
  <c r="Y10" i="54"/>
  <c r="X11" i="54"/>
  <c r="X13" i="54"/>
  <c r="Y15" i="54"/>
  <c r="X6" i="54"/>
  <c r="X9" i="54"/>
  <c r="X15" i="54"/>
  <c r="X7" i="54"/>
  <c r="X10" i="54"/>
  <c r="Q7" i="54"/>
  <c r="Q15" i="54"/>
  <c r="Q13" i="54"/>
  <c r="Q12" i="54"/>
  <c r="Q6" i="54"/>
  <c r="Q14" i="54"/>
  <c r="W49" i="54"/>
  <c r="Q9" i="54"/>
  <c r="U13" i="54"/>
  <c r="V12" i="54"/>
  <c r="U15" i="54"/>
  <c r="U12" i="54"/>
  <c r="V15" i="54"/>
  <c r="U14" i="54"/>
  <c r="V14" i="54"/>
  <c r="V6" i="54"/>
  <c r="Q11" i="54"/>
  <c r="W50" i="54"/>
  <c r="Q10" i="54"/>
  <c r="U6" i="54"/>
  <c r="U9" i="54"/>
  <c r="V7" i="54"/>
  <c r="V9" i="54"/>
  <c r="V11" i="54"/>
  <c r="V10" i="54"/>
  <c r="U11" i="54"/>
  <c r="V13" i="54"/>
  <c r="U7" i="54"/>
  <c r="U10" i="54"/>
  <c r="W52" i="54"/>
  <c r="W46" i="54"/>
  <c r="Q53" i="54"/>
  <c r="W51" i="54"/>
  <c r="W43" i="54"/>
  <c r="W48" i="54"/>
  <c r="W44" i="54"/>
  <c r="W47" i="54"/>
  <c r="W7" i="54" l="1"/>
  <c r="W9" i="54"/>
  <c r="W12" i="54"/>
  <c r="W15" i="54"/>
  <c r="W11" i="54"/>
  <c r="W10" i="54"/>
  <c r="W6" i="54"/>
  <c r="W14" i="54"/>
  <c r="W13" i="54"/>
  <c r="A1" i="55" l="1"/>
  <c r="BA19" i="55" l="1"/>
  <c r="BA84" i="55"/>
  <c r="BA4" i="55"/>
  <c r="BA5" i="55"/>
  <c r="BA6" i="55"/>
  <c r="BA7" i="55"/>
  <c r="BA8" i="55"/>
  <c r="BA9" i="55"/>
  <c r="BA10" i="55"/>
  <c r="BA11" i="55"/>
  <c r="BA12" i="55"/>
  <c r="BA13" i="55"/>
  <c r="BA14" i="55"/>
  <c r="BA15" i="55"/>
  <c r="BA16" i="55"/>
  <c r="BA17" i="55"/>
  <c r="BA18" i="55"/>
  <c r="BA20" i="55"/>
  <c r="BA21" i="55"/>
  <c r="BA22" i="55"/>
  <c r="BA23" i="55"/>
  <c r="BA24" i="55"/>
  <c r="BA25" i="55"/>
  <c r="BA26" i="55"/>
  <c r="BA27" i="55"/>
  <c r="BA28" i="55"/>
  <c r="BA29" i="55"/>
  <c r="BA30" i="55"/>
  <c r="BA31" i="55"/>
  <c r="BA32" i="55"/>
  <c r="BA33" i="55"/>
  <c r="BA34" i="55"/>
  <c r="BA35" i="55"/>
  <c r="BA36" i="55"/>
  <c r="BA37" i="55"/>
  <c r="BA38" i="55"/>
  <c r="BA39" i="55"/>
  <c r="BA40" i="55"/>
  <c r="BA41" i="55"/>
  <c r="BA42" i="55"/>
  <c r="BA43" i="55"/>
  <c r="BA44" i="55"/>
  <c r="BA45" i="55"/>
  <c r="BA46" i="55"/>
  <c r="BA47" i="55"/>
  <c r="BA48" i="55"/>
  <c r="BA49" i="55"/>
  <c r="BA50" i="55"/>
  <c r="BA51" i="55"/>
  <c r="BA52" i="55"/>
  <c r="BA53" i="55"/>
  <c r="BA54" i="55"/>
  <c r="BA55" i="55"/>
  <c r="BA56" i="55"/>
  <c r="BA57" i="55"/>
  <c r="BA58" i="55"/>
  <c r="BA59" i="55"/>
  <c r="BA60" i="55"/>
  <c r="BA61" i="55"/>
  <c r="BA62" i="55"/>
  <c r="BA63" i="55"/>
  <c r="BA64" i="55"/>
  <c r="BA65" i="55"/>
  <c r="BA66" i="55"/>
  <c r="BA67" i="55"/>
  <c r="BA68" i="55"/>
  <c r="BA69" i="55"/>
  <c r="BA70" i="55"/>
  <c r="BA71" i="55"/>
  <c r="BA72" i="55"/>
  <c r="BA73" i="55"/>
  <c r="BA74" i="55"/>
  <c r="BA75" i="55"/>
  <c r="BA76" i="55"/>
  <c r="BA77" i="55"/>
  <c r="BA78" i="55"/>
  <c r="BA79" i="55"/>
  <c r="BA80" i="55"/>
  <c r="BA81" i="55"/>
  <c r="BA82" i="55"/>
  <c r="BA83" i="55"/>
  <c r="BA85" i="55"/>
  <c r="BA86" i="55"/>
  <c r="BA87" i="55"/>
  <c r="BA88" i="55"/>
  <c r="BA89" i="55"/>
  <c r="BA90" i="55"/>
  <c r="BA91" i="55"/>
  <c r="BA92" i="55"/>
  <c r="BA3" i="55"/>
  <c r="L92" i="58" l="1"/>
  <c r="K92" i="58"/>
  <c r="L91" i="58"/>
  <c r="K91" i="58"/>
  <c r="L90" i="58"/>
  <c r="K90" i="58"/>
  <c r="L89" i="58"/>
  <c r="K89" i="58"/>
  <c r="L88" i="58"/>
  <c r="K88" i="58"/>
  <c r="L87" i="58"/>
  <c r="K87" i="58"/>
  <c r="L86" i="58"/>
  <c r="K86" i="58"/>
  <c r="L85" i="58"/>
  <c r="K85" i="58"/>
  <c r="L84" i="58"/>
  <c r="K84" i="58"/>
  <c r="L83" i="58"/>
  <c r="K83" i="58"/>
  <c r="L82" i="58"/>
  <c r="K82" i="58"/>
  <c r="L81" i="58"/>
  <c r="K81" i="58"/>
  <c r="L80" i="58"/>
  <c r="K80" i="58"/>
  <c r="L79" i="58"/>
  <c r="K79" i="58"/>
  <c r="L78" i="58"/>
  <c r="K78" i="58"/>
  <c r="L77" i="58"/>
  <c r="K77" i="58"/>
  <c r="L76" i="58"/>
  <c r="K76" i="58"/>
  <c r="L75" i="58"/>
  <c r="K75" i="58"/>
  <c r="L74" i="58"/>
  <c r="K74" i="58"/>
  <c r="L73" i="58"/>
  <c r="K73" i="58"/>
  <c r="L72" i="58"/>
  <c r="K72" i="58"/>
  <c r="L71" i="58"/>
  <c r="K71" i="58"/>
  <c r="L70" i="58"/>
  <c r="K70" i="58"/>
  <c r="L69" i="58"/>
  <c r="K69" i="58"/>
  <c r="L68" i="58"/>
  <c r="K68" i="58"/>
  <c r="L67" i="58"/>
  <c r="K67" i="58"/>
  <c r="L66" i="58"/>
  <c r="K66" i="58"/>
  <c r="L65" i="58"/>
  <c r="K65" i="58"/>
  <c r="L64" i="58"/>
  <c r="K64" i="58"/>
  <c r="L63" i="58"/>
  <c r="K63" i="58"/>
  <c r="L62" i="58"/>
  <c r="K62" i="58"/>
  <c r="L61" i="58"/>
  <c r="K61" i="58"/>
  <c r="L60" i="58"/>
  <c r="K60" i="58"/>
  <c r="L59" i="58"/>
  <c r="K59" i="58"/>
  <c r="L58" i="58"/>
  <c r="K58" i="58"/>
  <c r="L57" i="58"/>
  <c r="K57" i="58"/>
  <c r="L56" i="58"/>
  <c r="K56" i="58"/>
  <c r="L55" i="58"/>
  <c r="K55" i="58"/>
  <c r="L54" i="58"/>
  <c r="K54" i="58"/>
  <c r="L53" i="58"/>
  <c r="K53" i="58"/>
  <c r="L52" i="58"/>
  <c r="K52" i="58"/>
  <c r="L51" i="58"/>
  <c r="K51" i="58"/>
  <c r="L50" i="58"/>
  <c r="K50" i="58"/>
  <c r="L49" i="58"/>
  <c r="K49" i="58"/>
  <c r="L48" i="58"/>
  <c r="K48" i="58"/>
  <c r="L47" i="58"/>
  <c r="K47" i="58"/>
  <c r="L46" i="58"/>
  <c r="K46" i="58"/>
  <c r="L45" i="58"/>
  <c r="K45" i="58"/>
  <c r="L44" i="58"/>
  <c r="K44" i="58"/>
  <c r="L43" i="58"/>
  <c r="K43" i="58"/>
  <c r="L42" i="58"/>
  <c r="K42" i="58"/>
  <c r="L41" i="58"/>
  <c r="K41" i="58"/>
  <c r="L40" i="58"/>
  <c r="K40" i="58"/>
  <c r="L39" i="58"/>
  <c r="K39" i="58"/>
  <c r="L38" i="58"/>
  <c r="K38" i="58"/>
  <c r="L37" i="58"/>
  <c r="K37" i="58"/>
  <c r="L36" i="58"/>
  <c r="K36" i="58"/>
  <c r="L35" i="58"/>
  <c r="K35" i="58"/>
  <c r="L34" i="58"/>
  <c r="K34" i="58"/>
  <c r="L33" i="58"/>
  <c r="K33" i="58"/>
  <c r="L32" i="58"/>
  <c r="K32" i="58"/>
  <c r="L31" i="58"/>
  <c r="K31" i="58"/>
  <c r="L30" i="58"/>
  <c r="K30" i="58"/>
  <c r="L29" i="58"/>
  <c r="K29" i="58"/>
  <c r="L28" i="58"/>
  <c r="K28" i="58"/>
  <c r="L27" i="58"/>
  <c r="K27" i="58"/>
  <c r="L26" i="58"/>
  <c r="K26" i="58"/>
  <c r="L25" i="58"/>
  <c r="K25" i="58"/>
  <c r="L24" i="58"/>
  <c r="K24" i="58"/>
  <c r="L23" i="58"/>
  <c r="K23" i="58"/>
  <c r="L22" i="58"/>
  <c r="K22" i="58"/>
  <c r="L21" i="58"/>
  <c r="K21" i="58"/>
  <c r="L20" i="58"/>
  <c r="K20" i="58"/>
  <c r="L19" i="58"/>
  <c r="K19" i="58"/>
  <c r="L18" i="58"/>
  <c r="K18" i="58"/>
  <c r="L17" i="58"/>
  <c r="K17" i="58"/>
  <c r="L16" i="58"/>
  <c r="K16" i="58"/>
  <c r="L15" i="58"/>
  <c r="K15" i="58"/>
  <c r="L14" i="58"/>
  <c r="K14" i="58"/>
  <c r="L13" i="58"/>
  <c r="K13" i="58"/>
  <c r="L12" i="58"/>
  <c r="K12" i="58"/>
  <c r="L11" i="58"/>
  <c r="K11" i="58"/>
  <c r="L10" i="58"/>
  <c r="K10" i="58"/>
  <c r="L9" i="58"/>
  <c r="K9" i="58"/>
  <c r="L8" i="58"/>
  <c r="K8" i="58"/>
  <c r="L7" i="58"/>
  <c r="K7" i="58"/>
  <c r="L6" i="58"/>
  <c r="K6" i="58"/>
  <c r="AB5" i="58"/>
  <c r="P24" i="54" s="1"/>
  <c r="AA24" i="54" s="1"/>
  <c r="AA35" i="54" s="1"/>
  <c r="AA5" i="58"/>
  <c r="O24" i="54" s="1"/>
  <c r="Z24" i="54" s="1"/>
  <c r="Z35" i="54" s="1"/>
  <c r="Z5" i="58"/>
  <c r="Y5" i="58"/>
  <c r="M24" i="54" s="1"/>
  <c r="X24" i="54" s="1"/>
  <c r="X35" i="54" s="1"/>
  <c r="L5" i="58"/>
  <c r="K5" i="58"/>
  <c r="O35" i="54" l="1"/>
  <c r="V24" i="54"/>
  <c r="V35" i="54" s="1"/>
  <c r="O5" i="54"/>
  <c r="P35" i="54"/>
  <c r="P5" i="54"/>
  <c r="M35" i="54"/>
  <c r="M5" i="54"/>
  <c r="X5" i="54" s="1"/>
  <c r="X17" i="54" s="1"/>
  <c r="Y42" i="54"/>
  <c r="N24" i="54"/>
  <c r="Z42" i="54"/>
  <c r="X42" i="54"/>
  <c r="AA42" i="54"/>
  <c r="S8" i="58"/>
  <c r="G27" i="54" s="1"/>
  <c r="U8" i="58"/>
  <c r="I27" i="54" s="1"/>
  <c r="I8" i="54" s="1"/>
  <c r="W8" i="58"/>
  <c r="K27" i="54" s="1"/>
  <c r="K8" i="54" s="1"/>
  <c r="X8" i="58"/>
  <c r="L27" i="54" s="1"/>
  <c r="T8" i="58"/>
  <c r="H27" i="54" s="1"/>
  <c r="H8" i="54" s="1"/>
  <c r="V8" i="58"/>
  <c r="J27" i="54" s="1"/>
  <c r="U42" i="54"/>
  <c r="M53" i="54"/>
  <c r="N53" i="54"/>
  <c r="V42" i="54"/>
  <c r="V53" i="54" s="1"/>
  <c r="O53" i="54"/>
  <c r="P53" i="54"/>
  <c r="W15" i="58"/>
  <c r="K34" i="54" s="1"/>
  <c r="U15" i="58"/>
  <c r="I34" i="54" s="1"/>
  <c r="S15" i="58"/>
  <c r="G34" i="54" s="1"/>
  <c r="S6" i="58"/>
  <c r="G25" i="54" s="1"/>
  <c r="W6" i="58"/>
  <c r="K25" i="54" s="1"/>
  <c r="U6" i="58"/>
  <c r="I25" i="54" s="1"/>
  <c r="V9" i="58"/>
  <c r="J28" i="54" s="1"/>
  <c r="J9" i="54" s="1"/>
  <c r="T9" i="58"/>
  <c r="H28" i="54" s="1"/>
  <c r="H9" i="54" s="1"/>
  <c r="X9" i="58"/>
  <c r="L28" i="54" s="1"/>
  <c r="S9" i="58"/>
  <c r="G28" i="54" s="1"/>
  <c r="W9" i="58"/>
  <c r="K28" i="54" s="1"/>
  <c r="K9" i="54" s="1"/>
  <c r="U9" i="58"/>
  <c r="I28" i="54" s="1"/>
  <c r="X10" i="58"/>
  <c r="L29" i="54" s="1"/>
  <c r="L10" i="54" s="1"/>
  <c r="T10" i="58"/>
  <c r="H29" i="54" s="1"/>
  <c r="H10" i="54" s="1"/>
  <c r="V10" i="58"/>
  <c r="J29" i="54" s="1"/>
  <c r="J10" i="54" s="1"/>
  <c r="X12" i="58"/>
  <c r="L31" i="54" s="1"/>
  <c r="V12" i="58"/>
  <c r="J31" i="54" s="1"/>
  <c r="T12" i="58"/>
  <c r="H31" i="54" s="1"/>
  <c r="H12" i="54" s="1"/>
  <c r="S13" i="58"/>
  <c r="G32" i="54" s="1"/>
  <c r="W13" i="58"/>
  <c r="K32" i="54" s="1"/>
  <c r="K13" i="54" s="1"/>
  <c r="U13" i="58"/>
  <c r="I32" i="54" s="1"/>
  <c r="W10" i="58"/>
  <c r="K29" i="54" s="1"/>
  <c r="U10" i="58"/>
  <c r="I29" i="54" s="1"/>
  <c r="S10" i="58"/>
  <c r="G29" i="54" s="1"/>
  <c r="X14" i="58"/>
  <c r="L33" i="54" s="1"/>
  <c r="L14" i="54" s="1"/>
  <c r="V14" i="58"/>
  <c r="J33" i="54" s="1"/>
  <c r="J14" i="54" s="1"/>
  <c r="T14" i="58"/>
  <c r="H33" i="54" s="1"/>
  <c r="H14" i="54" s="1"/>
  <c r="W12" i="58"/>
  <c r="K31" i="54" s="1"/>
  <c r="K12" i="54" s="1"/>
  <c r="U12" i="58"/>
  <c r="I31" i="54" s="1"/>
  <c r="I12" i="54" s="1"/>
  <c r="S12" i="58"/>
  <c r="G31" i="54" s="1"/>
  <c r="W7" i="58"/>
  <c r="K26" i="54" s="1"/>
  <c r="U7" i="58"/>
  <c r="I26" i="54" s="1"/>
  <c r="S7" i="58"/>
  <c r="G26" i="54" s="1"/>
  <c r="G7" i="54" s="1"/>
  <c r="X7" i="58"/>
  <c r="L26" i="54" s="1"/>
  <c r="L7" i="54" s="1"/>
  <c r="V7" i="58"/>
  <c r="J26" i="54" s="1"/>
  <c r="J7" i="54" s="1"/>
  <c r="T7" i="58"/>
  <c r="H26" i="54" s="1"/>
  <c r="T6" i="58"/>
  <c r="H25" i="54" s="1"/>
  <c r="H6" i="54" s="1"/>
  <c r="X6" i="58"/>
  <c r="L25" i="54" s="1"/>
  <c r="L6" i="54" s="1"/>
  <c r="V6" i="58"/>
  <c r="J25" i="54" s="1"/>
  <c r="J6" i="54" s="1"/>
  <c r="T13" i="58"/>
  <c r="H32" i="54" s="1"/>
  <c r="H13" i="54" s="1"/>
  <c r="X13" i="58"/>
  <c r="L32" i="54" s="1"/>
  <c r="V13" i="58"/>
  <c r="J32" i="54" s="1"/>
  <c r="J13" i="54" s="1"/>
  <c r="W14" i="58"/>
  <c r="K33" i="54" s="1"/>
  <c r="U14" i="58"/>
  <c r="I33" i="54" s="1"/>
  <c r="S14" i="58"/>
  <c r="G33" i="54" s="1"/>
  <c r="S11" i="58"/>
  <c r="G30" i="54" s="1"/>
  <c r="G11" i="54" s="1"/>
  <c r="W11" i="58"/>
  <c r="K30" i="54" s="1"/>
  <c r="U11" i="58"/>
  <c r="I30" i="54" s="1"/>
  <c r="T11" i="58"/>
  <c r="H30" i="54" s="1"/>
  <c r="X11" i="58"/>
  <c r="L30" i="54" s="1"/>
  <c r="L11" i="54" s="1"/>
  <c r="V11" i="58"/>
  <c r="J30" i="54" s="1"/>
  <c r="J11" i="54" s="1"/>
  <c r="T15" i="58"/>
  <c r="H34" i="54" s="1"/>
  <c r="H15" i="54" s="1"/>
  <c r="X15" i="58"/>
  <c r="L34" i="54" s="1"/>
  <c r="L15" i="54" s="1"/>
  <c r="V15" i="58"/>
  <c r="J34" i="54" s="1"/>
  <c r="J15" i="54" s="1"/>
  <c r="W5" i="58"/>
  <c r="K24" i="54" s="1"/>
  <c r="K5" i="54" s="1"/>
  <c r="U5" i="58"/>
  <c r="I24" i="54" s="1"/>
  <c r="V5" i="58"/>
  <c r="J24" i="54" s="1"/>
  <c r="J5" i="54" s="1"/>
  <c r="S5" i="58"/>
  <c r="G24" i="54" s="1"/>
  <c r="AC11" i="58"/>
  <c r="T5" i="58"/>
  <c r="H24" i="54" s="1"/>
  <c r="H5" i="54" s="1"/>
  <c r="AC15" i="58"/>
  <c r="AH10" i="58"/>
  <c r="AH14" i="58"/>
  <c r="AC6" i="58"/>
  <c r="AC10" i="58"/>
  <c r="AC13" i="58"/>
  <c r="AC14" i="58"/>
  <c r="AC9" i="58"/>
  <c r="AG9" i="58"/>
  <c r="AH6" i="58"/>
  <c r="AC7" i="58"/>
  <c r="AH9" i="58"/>
  <c r="AG7" i="58"/>
  <c r="AH12" i="58"/>
  <c r="AC12" i="58"/>
  <c r="AG13" i="58"/>
  <c r="AA16" i="58"/>
  <c r="AH5" i="58"/>
  <c r="AB16" i="58"/>
  <c r="AC5" i="58"/>
  <c r="AG6" i="58"/>
  <c r="AH7" i="58"/>
  <c r="Z16" i="58"/>
  <c r="AG5" i="58"/>
  <c r="AH11" i="58"/>
  <c r="X5" i="58"/>
  <c r="L24" i="54" s="1"/>
  <c r="AG14" i="58"/>
  <c r="AG10" i="58"/>
  <c r="AG12" i="58"/>
  <c r="Y16" i="58"/>
  <c r="AG11" i="58"/>
  <c r="AH13" i="58"/>
  <c r="AG15" i="58"/>
  <c r="AH15" i="58"/>
  <c r="U24" i="54" l="1"/>
  <c r="W24" i="54" s="1"/>
  <c r="Y24" i="54"/>
  <c r="Y35" i="54" s="1"/>
  <c r="R26" i="54"/>
  <c r="H7" i="54"/>
  <c r="AA7" i="54" s="1"/>
  <c r="S28" i="54"/>
  <c r="I9" i="54"/>
  <c r="R25" i="54"/>
  <c r="G6" i="54"/>
  <c r="Z6" i="54" s="1"/>
  <c r="R32" i="54"/>
  <c r="G13" i="54"/>
  <c r="Z13" i="54" s="1"/>
  <c r="R34" i="54"/>
  <c r="G15" i="54"/>
  <c r="Z15" i="54" s="1"/>
  <c r="S32" i="54"/>
  <c r="I13" i="54"/>
  <c r="T25" i="54"/>
  <c r="K6" i="54"/>
  <c r="G8" i="54"/>
  <c r="R27" i="54"/>
  <c r="U35" i="54"/>
  <c r="S33" i="54"/>
  <c r="I14" i="54"/>
  <c r="T33" i="54"/>
  <c r="K14" i="54"/>
  <c r="R24" i="54"/>
  <c r="G5" i="54"/>
  <c r="Z5" i="54" s="1"/>
  <c r="R28" i="54"/>
  <c r="G9" i="54"/>
  <c r="Z9" i="54" s="1"/>
  <c r="S34" i="54"/>
  <c r="I15" i="54"/>
  <c r="S27" i="54"/>
  <c r="J8" i="54"/>
  <c r="R30" i="54"/>
  <c r="H11" i="54"/>
  <c r="AA11" i="54" s="1"/>
  <c r="T32" i="54"/>
  <c r="L13" i="54"/>
  <c r="S31" i="54"/>
  <c r="J12" i="54"/>
  <c r="T28" i="54"/>
  <c r="L9" i="54"/>
  <c r="T34" i="54"/>
  <c r="K15" i="54"/>
  <c r="S24" i="54"/>
  <c r="I5" i="54"/>
  <c r="S5" i="54" s="1"/>
  <c r="S30" i="54"/>
  <c r="I11" i="54"/>
  <c r="S26" i="54"/>
  <c r="I7" i="54"/>
  <c r="R29" i="54"/>
  <c r="G10" i="54"/>
  <c r="T31" i="54"/>
  <c r="L12" i="54"/>
  <c r="T27" i="54"/>
  <c r="L8" i="54"/>
  <c r="R33" i="54"/>
  <c r="AH33" i="54" s="1"/>
  <c r="G14" i="54"/>
  <c r="Z14" i="54" s="1"/>
  <c r="T30" i="54"/>
  <c r="K11" i="54"/>
  <c r="T26" i="54"/>
  <c r="K7" i="54"/>
  <c r="S29" i="54"/>
  <c r="I10" i="54"/>
  <c r="N35" i="54"/>
  <c r="N5" i="54"/>
  <c r="Y5" i="54" s="1"/>
  <c r="Y17" i="54" s="1"/>
  <c r="T24" i="54"/>
  <c r="L5" i="54"/>
  <c r="T5" i="54" s="1"/>
  <c r="R31" i="54"/>
  <c r="G12" i="54"/>
  <c r="Z12" i="54" s="1"/>
  <c r="T29" i="54"/>
  <c r="K10" i="54"/>
  <c r="S25" i="54"/>
  <c r="I6" i="54"/>
  <c r="AA5" i="54"/>
  <c r="V5" i="54"/>
  <c r="AA9" i="54"/>
  <c r="AA13" i="54"/>
  <c r="Z11" i="54"/>
  <c r="AA10" i="54"/>
  <c r="AA6" i="54"/>
  <c r="AA14" i="54"/>
  <c r="AA15" i="54"/>
  <c r="AA12" i="54"/>
  <c r="Z7" i="54"/>
  <c r="AA8" i="54"/>
  <c r="AF8" i="58"/>
  <c r="AE8" i="58"/>
  <c r="AD8" i="58"/>
  <c r="S42" i="54"/>
  <c r="T42" i="54"/>
  <c r="Y53" i="54"/>
  <c r="AA53" i="54"/>
  <c r="W42" i="54"/>
  <c r="U53" i="54"/>
  <c r="X53" i="54"/>
  <c r="R42" i="54"/>
  <c r="R49" i="54"/>
  <c r="T47" i="54"/>
  <c r="R51" i="54"/>
  <c r="S49" i="54"/>
  <c r="S51" i="54"/>
  <c r="T49" i="54"/>
  <c r="S46" i="54"/>
  <c r="T51" i="54"/>
  <c r="T46" i="54"/>
  <c r="R46" i="54"/>
  <c r="S48" i="54"/>
  <c r="S44" i="54"/>
  <c r="T48" i="54"/>
  <c r="T44" i="54"/>
  <c r="R48" i="54"/>
  <c r="S43" i="54"/>
  <c r="S50" i="54"/>
  <c r="T43" i="54"/>
  <c r="T50" i="54"/>
  <c r="R43" i="54"/>
  <c r="R50" i="54"/>
  <c r="R52" i="54"/>
  <c r="S52" i="54"/>
  <c r="R44" i="54"/>
  <c r="T52" i="54"/>
  <c r="AD12" i="58"/>
  <c r="AE10" i="58"/>
  <c r="AE5" i="58"/>
  <c r="AD9" i="58"/>
  <c r="AI14" i="58"/>
  <c r="G16" i="44" s="1"/>
  <c r="AF11" i="58"/>
  <c r="AD11" i="58"/>
  <c r="AI10" i="58"/>
  <c r="G7" i="44" s="1"/>
  <c r="AE13" i="58"/>
  <c r="AI12" i="58"/>
  <c r="G11" i="44" s="1"/>
  <c r="AD5" i="58"/>
  <c r="AD7" i="58"/>
  <c r="AI7" i="58"/>
  <c r="G12" i="44" s="1"/>
  <c r="AI6" i="58"/>
  <c r="G10" i="44" s="1"/>
  <c r="AI9" i="58"/>
  <c r="G14" i="44" s="1"/>
  <c r="AC16" i="58"/>
  <c r="AC18" i="58" s="1"/>
  <c r="AF12" i="58"/>
  <c r="AE6" i="58"/>
  <c r="AE12" i="58"/>
  <c r="AF6" i="58"/>
  <c r="AD15" i="58"/>
  <c r="AF7" i="58"/>
  <c r="AD13" i="58"/>
  <c r="AF5" i="58"/>
  <c r="AF13" i="58"/>
  <c r="AF14" i="58"/>
  <c r="AD14" i="58"/>
  <c r="AD10" i="58"/>
  <c r="AD6" i="58"/>
  <c r="AE15" i="58"/>
  <c r="AE7" i="58"/>
  <c r="AE11" i="58"/>
  <c r="AE9" i="58"/>
  <c r="AF9" i="58"/>
  <c r="AF15" i="58"/>
  <c r="AF10" i="58"/>
  <c r="AE14" i="58"/>
  <c r="AI13" i="58"/>
  <c r="G8" i="44" s="1"/>
  <c r="AG16" i="58"/>
  <c r="AI5" i="58"/>
  <c r="G6" i="44" s="1"/>
  <c r="AI11" i="58"/>
  <c r="G9" i="44" s="1"/>
  <c r="AI15" i="58"/>
  <c r="G13" i="44" s="1"/>
  <c r="AH16" i="58"/>
  <c r="AH27" i="54" l="1"/>
  <c r="AH32" i="54"/>
  <c r="T35" i="54"/>
  <c r="AH29" i="54"/>
  <c r="AH30" i="54"/>
  <c r="R35" i="54"/>
  <c r="AH24" i="54"/>
  <c r="AH25" i="54"/>
  <c r="U5" i="54"/>
  <c r="W5" i="54" s="1"/>
  <c r="AH31" i="54"/>
  <c r="S35" i="54"/>
  <c r="AH28" i="54"/>
  <c r="AH34" i="54"/>
  <c r="AH26" i="54"/>
  <c r="AB42" i="54"/>
  <c r="AB5" i="54" s="1"/>
  <c r="AB30" i="54"/>
  <c r="AB29" i="54"/>
  <c r="AB33" i="54"/>
  <c r="AB26" i="54"/>
  <c r="AB34" i="54"/>
  <c r="AB25" i="54"/>
  <c r="AB32" i="54"/>
  <c r="AB28" i="54"/>
  <c r="AB27" i="54"/>
  <c r="AB24" i="54"/>
  <c r="AB31" i="54"/>
  <c r="AF43" i="54"/>
  <c r="AF33" i="54"/>
  <c r="AF28" i="54"/>
  <c r="AF32" i="54"/>
  <c r="AF29" i="54"/>
  <c r="AF34" i="54"/>
  <c r="AF24" i="54"/>
  <c r="AF26" i="54"/>
  <c r="AF27" i="54"/>
  <c r="AF25" i="54"/>
  <c r="AF30" i="54"/>
  <c r="AF31" i="54"/>
  <c r="AC42" i="54"/>
  <c r="AC30" i="54"/>
  <c r="AC26" i="54"/>
  <c r="AC31" i="54"/>
  <c r="AC27" i="54"/>
  <c r="AC32" i="54"/>
  <c r="AC34" i="54"/>
  <c r="AC24" i="54"/>
  <c r="AC25" i="54"/>
  <c r="AC33" i="54"/>
  <c r="AC29" i="54"/>
  <c r="AC28" i="54"/>
  <c r="S14" i="54"/>
  <c r="T10" i="54"/>
  <c r="AF42" i="54"/>
  <c r="AF5" i="54" s="1"/>
  <c r="S12" i="54"/>
  <c r="AF44" i="54"/>
  <c r="AF7" i="54" s="1"/>
  <c r="Z53" i="54"/>
  <c r="R5" i="54"/>
  <c r="AH5" i="54" s="1"/>
  <c r="T12" i="54"/>
  <c r="R15" i="54"/>
  <c r="T9" i="54"/>
  <c r="S9" i="54"/>
  <c r="T15" i="54"/>
  <c r="R12" i="54"/>
  <c r="S8" i="54"/>
  <c r="T14" i="54"/>
  <c r="T8" i="54"/>
  <c r="R9" i="54"/>
  <c r="R14" i="54"/>
  <c r="S6" i="54"/>
  <c r="T7" i="54"/>
  <c r="T6" i="54"/>
  <c r="T11" i="54"/>
  <c r="S11" i="54"/>
  <c r="R13" i="54"/>
  <c r="S15" i="54"/>
  <c r="S13" i="54"/>
  <c r="R11" i="54"/>
  <c r="R7" i="54"/>
  <c r="T13" i="54"/>
  <c r="R6" i="54"/>
  <c r="S7" i="54"/>
  <c r="AH51" i="54"/>
  <c r="AC45" i="54"/>
  <c r="AC8" i="54" s="1"/>
  <c r="AC46" i="54"/>
  <c r="AC9" i="54" s="1"/>
  <c r="AC52" i="54"/>
  <c r="AC15" i="54" s="1"/>
  <c r="AC50" i="54"/>
  <c r="AC13" i="54" s="1"/>
  <c r="AC48" i="54"/>
  <c r="AC51" i="54"/>
  <c r="AC14" i="54" s="1"/>
  <c r="AC43" i="54"/>
  <c r="AC44" i="54"/>
  <c r="AC7" i="54" s="1"/>
  <c r="AC47" i="54"/>
  <c r="AC10" i="54" s="1"/>
  <c r="AC49" i="54"/>
  <c r="AC12" i="54" s="1"/>
  <c r="AB45" i="54"/>
  <c r="AB50" i="54"/>
  <c r="AB13" i="54" s="1"/>
  <c r="AB44" i="54"/>
  <c r="AB7" i="54" s="1"/>
  <c r="AB47" i="54"/>
  <c r="AB10" i="54" s="1"/>
  <c r="AB52" i="54"/>
  <c r="AB51" i="54"/>
  <c r="AB14" i="54" s="1"/>
  <c r="AB46" i="54"/>
  <c r="AB43" i="54"/>
  <c r="AB48" i="54"/>
  <c r="AB49" i="54"/>
  <c r="AB12" i="54" s="1"/>
  <c r="AF45" i="54"/>
  <c r="AF8" i="54" s="1"/>
  <c r="AF46" i="54"/>
  <c r="AF9" i="54" s="1"/>
  <c r="AF51" i="54"/>
  <c r="AF52" i="54"/>
  <c r="AF48" i="54"/>
  <c r="AF49" i="54"/>
  <c r="AF47" i="54"/>
  <c r="AF50" i="54"/>
  <c r="AF13" i="54" s="1"/>
  <c r="L14" i="44"/>
  <c r="M15" i="44"/>
  <c r="L15" i="44"/>
  <c r="AH46" i="54"/>
  <c r="AH44" i="54"/>
  <c r="AH48" i="54"/>
  <c r="AJ12" i="58"/>
  <c r="H11" i="44" s="1"/>
  <c r="AJ8" i="58"/>
  <c r="H15" i="44" s="1"/>
  <c r="AH42" i="54"/>
  <c r="R45" i="54"/>
  <c r="S45" i="54"/>
  <c r="T45" i="54"/>
  <c r="T53" i="54" s="1"/>
  <c r="R47" i="54"/>
  <c r="AH50" i="54"/>
  <c r="S47" i="54"/>
  <c r="AH49" i="54"/>
  <c r="AH43" i="54"/>
  <c r="AH52" i="54"/>
  <c r="M7" i="44"/>
  <c r="M14" i="44"/>
  <c r="L9" i="44"/>
  <c r="M13" i="44"/>
  <c r="L7" i="44"/>
  <c r="L8" i="44"/>
  <c r="M12" i="44"/>
  <c r="L10" i="44"/>
  <c r="M9" i="44"/>
  <c r="M10" i="44"/>
  <c r="L12" i="44"/>
  <c r="M6" i="44"/>
  <c r="M16" i="44"/>
  <c r="L13" i="44"/>
  <c r="M8" i="44"/>
  <c r="L16" i="44"/>
  <c r="M11" i="44"/>
  <c r="L6" i="44"/>
  <c r="L11" i="44"/>
  <c r="AJ10" i="58"/>
  <c r="H7" i="44" s="1"/>
  <c r="AJ9" i="58"/>
  <c r="H14" i="44" s="1"/>
  <c r="AJ5" i="58"/>
  <c r="H6" i="44" s="1"/>
  <c r="AJ6" i="58"/>
  <c r="H10" i="44" s="1"/>
  <c r="AJ11" i="58"/>
  <c r="H9" i="44" s="1"/>
  <c r="AJ13" i="58"/>
  <c r="H8" i="44" s="1"/>
  <c r="AJ14" i="58"/>
  <c r="H16" i="44" s="1"/>
  <c r="AF16" i="58"/>
  <c r="AE16" i="58"/>
  <c r="AD16" i="58"/>
  <c r="AJ7" i="58"/>
  <c r="H12" i="44" s="1"/>
  <c r="AJ15" i="58"/>
  <c r="H13" i="44" s="1"/>
  <c r="AF10" i="54" l="1"/>
  <c r="AC11" i="54"/>
  <c r="AF12" i="54"/>
  <c r="AB11" i="54"/>
  <c r="AC5" i="54"/>
  <c r="AD32" i="54"/>
  <c r="AB8" i="54"/>
  <c r="AF14" i="54"/>
  <c r="AB15" i="54"/>
  <c r="AB6" i="54"/>
  <c r="AH14" i="54"/>
  <c r="AB9" i="54"/>
  <c r="AF6" i="54"/>
  <c r="AF11" i="54"/>
  <c r="AF15" i="54"/>
  <c r="AC6" i="54"/>
  <c r="AD42" i="54"/>
  <c r="AD25" i="54"/>
  <c r="AD26" i="54"/>
  <c r="AD34" i="54"/>
  <c r="AE43" i="54"/>
  <c r="AE27" i="54"/>
  <c r="AG27" i="54" s="1"/>
  <c r="AE25" i="54"/>
  <c r="AG25" i="54" s="1"/>
  <c r="AE33" i="54"/>
  <c r="AG33" i="54" s="1"/>
  <c r="AE28" i="54"/>
  <c r="AG28" i="54" s="1"/>
  <c r="AE32" i="54"/>
  <c r="AG32" i="54" s="1"/>
  <c r="AE29" i="54"/>
  <c r="AG29" i="54" s="1"/>
  <c r="AE31" i="54"/>
  <c r="AG31" i="54" s="1"/>
  <c r="AE26" i="54"/>
  <c r="AG26" i="54" s="1"/>
  <c r="AE24" i="54"/>
  <c r="AG24" i="54" s="1"/>
  <c r="AE34" i="54"/>
  <c r="AG34" i="54" s="1"/>
  <c r="AE30" i="54"/>
  <c r="AG30" i="54" s="1"/>
  <c r="AD31" i="54"/>
  <c r="AD33" i="54"/>
  <c r="AD24" i="54"/>
  <c r="AD29" i="54"/>
  <c r="AD27" i="54"/>
  <c r="AD30" i="54"/>
  <c r="AD28" i="54"/>
  <c r="AE50" i="54"/>
  <c r="AE51" i="54"/>
  <c r="AE44" i="54"/>
  <c r="AE49" i="54"/>
  <c r="AE46" i="54"/>
  <c r="AE42" i="54"/>
  <c r="AE52" i="54"/>
  <c r="AE48" i="54"/>
  <c r="AE45" i="54"/>
  <c r="AE47" i="54"/>
  <c r="AH12" i="54"/>
  <c r="AH15" i="54"/>
  <c r="R8" i="54"/>
  <c r="AH8" i="54" s="1"/>
  <c r="Z8" i="54"/>
  <c r="R10" i="54"/>
  <c r="Z10" i="54"/>
  <c r="AH9" i="54"/>
  <c r="AH13" i="54"/>
  <c r="AH7" i="54"/>
  <c r="S10" i="54"/>
  <c r="AH6" i="54"/>
  <c r="AH11" i="54"/>
  <c r="S53" i="54"/>
  <c r="R53" i="54"/>
  <c r="AH45" i="54"/>
  <c r="AH47" i="54"/>
  <c r="AE14" i="54" l="1"/>
  <c r="AE13" i="54"/>
  <c r="AE10" i="54"/>
  <c r="AE6" i="54"/>
  <c r="AE8" i="54"/>
  <c r="AE5" i="54"/>
  <c r="AE9" i="54"/>
  <c r="AE12" i="54"/>
  <c r="AE11" i="54"/>
  <c r="AE15" i="54"/>
  <c r="AE7" i="54"/>
  <c r="AH10" i="54"/>
  <c r="S95" i="54"/>
  <c r="R96" i="54"/>
  <c r="Y96" i="54"/>
  <c r="Z96" i="54"/>
  <c r="AA96" i="54"/>
  <c r="S97" i="54"/>
  <c r="T97" i="54"/>
  <c r="Q104" i="54"/>
  <c r="Y104" i="54"/>
  <c r="AA104" i="54"/>
  <c r="S98" i="54"/>
  <c r="R99" i="54"/>
  <c r="Y99" i="54"/>
  <c r="Z99" i="54"/>
  <c r="AA99" i="54"/>
  <c r="Q101" i="54"/>
  <c r="AA101" i="54"/>
  <c r="R103" i="54"/>
  <c r="Y103" i="54"/>
  <c r="AA103" i="54"/>
  <c r="S103" i="54"/>
  <c r="X103" i="54"/>
  <c r="T103" i="54"/>
  <c r="Q103" i="54"/>
  <c r="Z102" i="54"/>
  <c r="Y102" i="54"/>
  <c r="V102" i="54"/>
  <c r="R102" i="54"/>
  <c r="Q102" i="54"/>
  <c r="X102" i="54"/>
  <c r="S102" i="54"/>
  <c r="AA102" i="54"/>
  <c r="X101" i="54"/>
  <c r="T101" i="54"/>
  <c r="S101" i="54"/>
  <c r="R101" i="54"/>
  <c r="V100" i="54"/>
  <c r="AA100" i="54"/>
  <c r="Y100" i="54"/>
  <c r="S100" i="54"/>
  <c r="R100" i="54"/>
  <c r="Q100" i="54"/>
  <c r="S99" i="54"/>
  <c r="X99" i="54"/>
  <c r="T99" i="54"/>
  <c r="Q99" i="54"/>
  <c r="Z98" i="54"/>
  <c r="Y98" i="54"/>
  <c r="R98" i="54"/>
  <c r="Q98" i="54"/>
  <c r="AA98" i="54"/>
  <c r="V98" i="54"/>
  <c r="X98" i="54"/>
  <c r="T98" i="54"/>
  <c r="X104" i="54"/>
  <c r="T104" i="54"/>
  <c r="S104" i="54"/>
  <c r="R104" i="54"/>
  <c r="AH104" i="54" s="1"/>
  <c r="V97" i="54"/>
  <c r="Y97" i="54"/>
  <c r="R97" i="54"/>
  <c r="AA97" i="54"/>
  <c r="Q97" i="54"/>
  <c r="S96" i="54"/>
  <c r="X96" i="54"/>
  <c r="T96" i="54"/>
  <c r="Q96" i="54"/>
  <c r="Z95" i="54"/>
  <c r="Y95" i="54"/>
  <c r="R95" i="54"/>
  <c r="Q95" i="54"/>
  <c r="P105" i="54"/>
  <c r="V95" i="54"/>
  <c r="X95" i="54"/>
  <c r="T95" i="54"/>
  <c r="V86" i="54"/>
  <c r="U86" i="54"/>
  <c r="R86" i="54"/>
  <c r="V85" i="54"/>
  <c r="T85" i="54"/>
  <c r="R85" i="54"/>
  <c r="Z84" i="54"/>
  <c r="AE84" i="54" s="1"/>
  <c r="R84" i="54"/>
  <c r="AA84" i="54"/>
  <c r="AF84" i="54" s="1"/>
  <c r="Q84" i="54"/>
  <c r="X83" i="54"/>
  <c r="AB83" i="54" s="1"/>
  <c r="S82" i="54"/>
  <c r="AA80" i="54"/>
  <c r="AF80" i="54" s="1"/>
  <c r="T80" i="54"/>
  <c r="Y80" i="54"/>
  <c r="AC80" i="54" s="1"/>
  <c r="Q79" i="54"/>
  <c r="AA79" i="54"/>
  <c r="AF79" i="54" s="1"/>
  <c r="Y79" i="54"/>
  <c r="AC79" i="54" s="1"/>
  <c r="U79" i="54"/>
  <c r="S79" i="54"/>
  <c r="AA78" i="54"/>
  <c r="AF78" i="54" s="1"/>
  <c r="AH101" i="54" l="1"/>
  <c r="W86" i="54"/>
  <c r="AH99" i="54"/>
  <c r="AG84" i="54"/>
  <c r="T84" i="54"/>
  <c r="Q85" i="54"/>
  <c r="S86" i="54"/>
  <c r="AH86" i="54" s="1"/>
  <c r="U87" i="54"/>
  <c r="S81" i="54"/>
  <c r="S83" i="54"/>
  <c r="R87" i="54"/>
  <c r="T81" i="54"/>
  <c r="R82" i="54"/>
  <c r="AH82" i="54" s="1"/>
  <c r="V82" i="54"/>
  <c r="T86" i="54"/>
  <c r="V78" i="54"/>
  <c r="Y86" i="54"/>
  <c r="AC86" i="54" s="1"/>
  <c r="V84" i="54"/>
  <c r="R81" i="54"/>
  <c r="AH81" i="54" s="1"/>
  <c r="V81" i="54"/>
  <c r="S84" i="54"/>
  <c r="AH84" i="54" s="1"/>
  <c r="AH100" i="54"/>
  <c r="AH103" i="54"/>
  <c r="AH97" i="54"/>
  <c r="U104" i="54"/>
  <c r="T100" i="54"/>
  <c r="U101" i="54"/>
  <c r="Y101" i="54"/>
  <c r="T102" i="54"/>
  <c r="Z103" i="54"/>
  <c r="S80" i="54"/>
  <c r="Y82" i="54"/>
  <c r="AC82" i="54" s="1"/>
  <c r="R78" i="54"/>
  <c r="Z78" i="54"/>
  <c r="AE78" i="54" s="1"/>
  <c r="X79" i="54"/>
  <c r="AB79" i="54" s="1"/>
  <c r="T87" i="54"/>
  <c r="AA81" i="54"/>
  <c r="AF81" i="54" s="1"/>
  <c r="AA82" i="54"/>
  <c r="AF82" i="54" s="1"/>
  <c r="T83" i="54"/>
  <c r="Q81" i="54"/>
  <c r="X84" i="54"/>
  <c r="AB84" i="54" s="1"/>
  <c r="S78" i="54"/>
  <c r="T79" i="54"/>
  <c r="Q80" i="54"/>
  <c r="X80" i="54"/>
  <c r="AB80" i="54" s="1"/>
  <c r="Q83" i="54"/>
  <c r="U83" i="54"/>
  <c r="Y84" i="54"/>
  <c r="AC84" i="54" s="1"/>
  <c r="Q86" i="54"/>
  <c r="Q105" i="54"/>
  <c r="Z87" i="54"/>
  <c r="AE87" i="54" s="1"/>
  <c r="Y81" i="54"/>
  <c r="AC81" i="54" s="1"/>
  <c r="Y83" i="54"/>
  <c r="AC83" i="54" s="1"/>
  <c r="X86" i="54"/>
  <c r="AB86" i="54" s="1"/>
  <c r="T78" i="54"/>
  <c r="R80" i="54"/>
  <c r="AH80" i="54" s="1"/>
  <c r="Z80" i="54"/>
  <c r="AE80" i="54" s="1"/>
  <c r="Z81" i="54"/>
  <c r="AE81" i="54" s="1"/>
  <c r="T82" i="54"/>
  <c r="R83" i="54"/>
  <c r="R79" i="54"/>
  <c r="AH79" i="54" s="1"/>
  <c r="V79" i="54"/>
  <c r="W79" i="54" s="1"/>
  <c r="S87" i="54"/>
  <c r="X81" i="54"/>
  <c r="AB81" i="54" s="1"/>
  <c r="AA83" i="54"/>
  <c r="AF83" i="54" s="1"/>
  <c r="S85" i="54"/>
  <c r="AH85" i="54" s="1"/>
  <c r="S105" i="54"/>
  <c r="Y78" i="54"/>
  <c r="Q87" i="54"/>
  <c r="X100" i="54"/>
  <c r="Y87" i="54"/>
  <c r="AC87" i="54" s="1"/>
  <c r="Z82" i="54"/>
  <c r="AE82" i="54" s="1"/>
  <c r="Q82" i="54"/>
  <c r="X82" i="54"/>
  <c r="AB82" i="54" s="1"/>
  <c r="R105" i="54"/>
  <c r="AH95" i="54"/>
  <c r="V101" i="54"/>
  <c r="Z101" i="54"/>
  <c r="Z100" i="54"/>
  <c r="U78" i="54"/>
  <c r="AA87" i="54"/>
  <c r="AF87" i="54" s="1"/>
  <c r="V83" i="54"/>
  <c r="Z83" i="54"/>
  <c r="AE83" i="54" s="1"/>
  <c r="X85" i="54"/>
  <c r="AB85" i="54" s="1"/>
  <c r="X97" i="54"/>
  <c r="AH102" i="54"/>
  <c r="V87" i="54"/>
  <c r="Y85" i="54"/>
  <c r="AC85" i="54" s="1"/>
  <c r="V104" i="54"/>
  <c r="Z104" i="54"/>
  <c r="U100" i="54"/>
  <c r="W100" i="54" s="1"/>
  <c r="Z85" i="54"/>
  <c r="AE85" i="54" s="1"/>
  <c r="Z97" i="54"/>
  <c r="U82" i="54"/>
  <c r="W82" i="54" s="1"/>
  <c r="AA85" i="54"/>
  <c r="AF85" i="54" s="1"/>
  <c r="AA86" i="54"/>
  <c r="AF86" i="54" s="1"/>
  <c r="AH98" i="54"/>
  <c r="M105" i="54"/>
  <c r="Q78" i="54"/>
  <c r="X78" i="54"/>
  <c r="AB78" i="54" s="1"/>
  <c r="U85" i="54"/>
  <c r="W85" i="54" s="1"/>
  <c r="AH96" i="54"/>
  <c r="U97" i="54"/>
  <c r="W97" i="54" s="1"/>
  <c r="N105" i="54"/>
  <c r="Z79" i="54"/>
  <c r="AE79" i="54" s="1"/>
  <c r="U80" i="54"/>
  <c r="X87" i="54"/>
  <c r="AB87" i="54" s="1"/>
  <c r="Z86" i="54"/>
  <c r="AE86" i="54" s="1"/>
  <c r="AA95" i="54"/>
  <c r="U96" i="54"/>
  <c r="U99" i="54"/>
  <c r="U103" i="54"/>
  <c r="O105" i="54"/>
  <c r="V80" i="54"/>
  <c r="U84" i="54"/>
  <c r="V96" i="54"/>
  <c r="V99" i="54"/>
  <c r="V103" i="54"/>
  <c r="U81" i="54"/>
  <c r="U95" i="54"/>
  <c r="U98" i="54"/>
  <c r="W98" i="54" s="1"/>
  <c r="U102" i="54"/>
  <c r="W102" i="54" s="1"/>
  <c r="AH87" i="54" l="1"/>
  <c r="Y105" i="54"/>
  <c r="AC97" i="54" s="1"/>
  <c r="AH78" i="54"/>
  <c r="AH83" i="54"/>
  <c r="AG86" i="54"/>
  <c r="AD80" i="54"/>
  <c r="AG79" i="54"/>
  <c r="AG80" i="54"/>
  <c r="AD79" i="54"/>
  <c r="AD83" i="54"/>
  <c r="AG78" i="54"/>
  <c r="W81" i="54"/>
  <c r="W104" i="54"/>
  <c r="AD82" i="54"/>
  <c r="W78" i="54"/>
  <c r="W87" i="54"/>
  <c r="T105" i="54"/>
  <c r="W84" i="54"/>
  <c r="W101" i="54"/>
  <c r="AD84" i="54"/>
  <c r="AD86" i="54"/>
  <c r="X105" i="54"/>
  <c r="AB103" i="54" s="1"/>
  <c r="W83" i="54"/>
  <c r="AD81" i="54"/>
  <c r="AG83" i="54"/>
  <c r="AG82" i="54"/>
  <c r="AG87" i="54"/>
  <c r="Z105" i="54"/>
  <c r="AE102" i="54" s="1"/>
  <c r="AC102" i="54"/>
  <c r="W99" i="54"/>
  <c r="AC100" i="54"/>
  <c r="V105" i="54"/>
  <c r="AG81" i="54"/>
  <c r="AC78" i="54"/>
  <c r="AA105" i="54"/>
  <c r="W96" i="54"/>
  <c r="W95" i="54"/>
  <c r="U105" i="54"/>
  <c r="AD87" i="54"/>
  <c r="AC95" i="54"/>
  <c r="W80" i="54"/>
  <c r="AC98" i="54"/>
  <c r="W103" i="54"/>
  <c r="AG85" i="54"/>
  <c r="AD85" i="54"/>
  <c r="AC101" i="54" l="1"/>
  <c r="AC104" i="54"/>
  <c r="AC99" i="54"/>
  <c r="AC96" i="54"/>
  <c r="AC103" i="54"/>
  <c r="AB98" i="54"/>
  <c r="AE95" i="54"/>
  <c r="AE99" i="54"/>
  <c r="AB96" i="54"/>
  <c r="AE97" i="54"/>
  <c r="AB95" i="54"/>
  <c r="AD78" i="54"/>
  <c r="AB100" i="54"/>
  <c r="AB99" i="54"/>
  <c r="AE104" i="54"/>
  <c r="AB101" i="54"/>
  <c r="AE101" i="54"/>
  <c r="AB104" i="54"/>
  <c r="AE96" i="54"/>
  <c r="AE98" i="54"/>
  <c r="AB97" i="54"/>
  <c r="AE103" i="54"/>
  <c r="AB102" i="54"/>
  <c r="AE100" i="54"/>
  <c r="AF101" i="54"/>
  <c r="AF99" i="54"/>
  <c r="AF102" i="54"/>
  <c r="AF97" i="54"/>
  <c r="AF104" i="54"/>
  <c r="AF100" i="54"/>
  <c r="AF103" i="54"/>
  <c r="AF96" i="54"/>
  <c r="AF98" i="54"/>
  <c r="AF95" i="54"/>
  <c r="AD96" i="54" l="1"/>
  <c r="AD98" i="54"/>
  <c r="AD101" i="54"/>
  <c r="AG102" i="54"/>
  <c r="AD103" i="54"/>
  <c r="AD104" i="54"/>
  <c r="AD95" i="54"/>
  <c r="AD102" i="54"/>
  <c r="AG95" i="54"/>
  <c r="AD97" i="54"/>
  <c r="AD99" i="54"/>
  <c r="AD100" i="54"/>
  <c r="AG97" i="54"/>
  <c r="AG101" i="54"/>
  <c r="AG99" i="54"/>
  <c r="AG98" i="54"/>
  <c r="AG104" i="54"/>
  <c r="AG100" i="54"/>
  <c r="AG96" i="54"/>
  <c r="AG103" i="54"/>
  <c r="U68" i="54" l="1"/>
  <c r="V70" i="54"/>
  <c r="U69" i="54"/>
  <c r="V62" i="54"/>
  <c r="U70" i="54"/>
  <c r="U61" i="54"/>
  <c r="N71" i="54"/>
  <c r="V63" i="54"/>
  <c r="V67" i="54"/>
  <c r="M71" i="54"/>
  <c r="P71" i="54"/>
  <c r="U67" i="54"/>
  <c r="V65" i="54"/>
  <c r="O71" i="54"/>
  <c r="V66" i="54"/>
  <c r="V69" i="54"/>
  <c r="V61" i="54"/>
  <c r="U64" i="54"/>
  <c r="U62" i="54"/>
  <c r="U63" i="54"/>
  <c r="V64" i="54"/>
  <c r="U65" i="54"/>
  <c r="U66" i="54"/>
  <c r="V68" i="54"/>
  <c r="W70" i="54" l="1"/>
  <c r="W64" i="54"/>
  <c r="W69" i="54"/>
  <c r="W63" i="54"/>
  <c r="W62" i="54"/>
  <c r="W65" i="54"/>
  <c r="W66" i="54"/>
  <c r="W67" i="54"/>
  <c r="V71" i="54"/>
  <c r="U71" i="54"/>
  <c r="W61" i="54"/>
  <c r="W68" i="54"/>
  <c r="S70" i="54" l="1"/>
  <c r="S63" i="54"/>
  <c r="T61" i="54"/>
  <c r="R68" i="54"/>
  <c r="R62" i="54"/>
  <c r="S69" i="54"/>
  <c r="R70" i="54"/>
  <c r="R64" i="54"/>
  <c r="S66" i="54"/>
  <c r="T64" i="54"/>
  <c r="Q68" i="54"/>
  <c r="T69" i="54"/>
  <c r="T67" i="54"/>
  <c r="S68" i="54"/>
  <c r="T62" i="54"/>
  <c r="S64" i="54"/>
  <c r="S67" i="54"/>
  <c r="Q63" i="54"/>
  <c r="R69" i="54"/>
  <c r="S65" i="54"/>
  <c r="Q62" i="54"/>
  <c r="R66" i="54"/>
  <c r="R61" i="54"/>
  <c r="S62" i="54"/>
  <c r="Q61" i="54"/>
  <c r="T68" i="54"/>
  <c r="R65" i="54"/>
  <c r="R63" i="54"/>
  <c r="S61" i="54"/>
  <c r="Q70" i="54"/>
  <c r="Q65" i="54"/>
  <c r="R67" i="54"/>
  <c r="Q64" i="54"/>
  <c r="Q66" i="54"/>
  <c r="T70" i="54"/>
  <c r="T63" i="54"/>
  <c r="T65" i="54"/>
  <c r="Q67" i="54"/>
  <c r="T66" i="54"/>
  <c r="Q69" i="54"/>
  <c r="AH66" i="54" l="1"/>
  <c r="AH62" i="54"/>
  <c r="AH64" i="54"/>
  <c r="AH63" i="54"/>
  <c r="AH69" i="54"/>
  <c r="AH70" i="54"/>
  <c r="AH67" i="54"/>
  <c r="AA71" i="54"/>
  <c r="AF69" i="54" s="1"/>
  <c r="AH65" i="54"/>
  <c r="Z71" i="54"/>
  <c r="AE64" i="54" s="1"/>
  <c r="S71" i="54"/>
  <c r="Y71" i="54"/>
  <c r="AC70" i="54" s="1"/>
  <c r="AH61" i="54"/>
  <c r="Q71" i="54"/>
  <c r="R71" i="54"/>
  <c r="X71" i="54"/>
  <c r="T71" i="54"/>
  <c r="AH68" i="54"/>
  <c r="AE69" i="54"/>
  <c r="AG45" i="54"/>
  <c r="AG47" i="54"/>
  <c r="AG46" i="54"/>
  <c r="AG52" i="54"/>
  <c r="AG51" i="54"/>
  <c r="AG48" i="54"/>
  <c r="AG42" i="54"/>
  <c r="AD45" i="54"/>
  <c r="AD46" i="54"/>
  <c r="AD44" i="54"/>
  <c r="AD47" i="54"/>
  <c r="AD51" i="54"/>
  <c r="AD43" i="54"/>
  <c r="AB63" i="54" l="1"/>
  <c r="AB61" i="54"/>
  <c r="AE62" i="54"/>
  <c r="AE61" i="54"/>
  <c r="AE66" i="54"/>
  <c r="AE67" i="54"/>
  <c r="AE63" i="54"/>
  <c r="AE65" i="54"/>
  <c r="AE70" i="54"/>
  <c r="AE68" i="54"/>
  <c r="AB70" i="54"/>
  <c r="AF61" i="54"/>
  <c r="AC63" i="54"/>
  <c r="AF63" i="54"/>
  <c r="AF67" i="54"/>
  <c r="AC65" i="54"/>
  <c r="AC68" i="54"/>
  <c r="AB62" i="54"/>
  <c r="AC61" i="54"/>
  <c r="AF65" i="54"/>
  <c r="AF62" i="54"/>
  <c r="AB69" i="54"/>
  <c r="AC67" i="54"/>
  <c r="AB65" i="54"/>
  <c r="AC69" i="54"/>
  <c r="AB68" i="54"/>
  <c r="AF64" i="54"/>
  <c r="AB64" i="54"/>
  <c r="AF66" i="54"/>
  <c r="AC66" i="54"/>
  <c r="AF68" i="54"/>
  <c r="AC62" i="54"/>
  <c r="AF70" i="54"/>
  <c r="AB66" i="54"/>
  <c r="AC64" i="54"/>
  <c r="AB67" i="54"/>
  <c r="AD48" i="54"/>
  <c r="AG49" i="54"/>
  <c r="AD50" i="54"/>
  <c r="AG43" i="54"/>
  <c r="AD52" i="54"/>
  <c r="AG50" i="54"/>
  <c r="AD49" i="54"/>
  <c r="AG44" i="54"/>
  <c r="AG62" i="54"/>
  <c r="AG61" i="54"/>
  <c r="AG69" i="54"/>
  <c r="AG63" i="54" l="1"/>
  <c r="AD64" i="54"/>
  <c r="AD63" i="54"/>
  <c r="AG70" i="54"/>
  <c r="AG66" i="54"/>
  <c r="AG65" i="54"/>
  <c r="AG64" i="54"/>
  <c r="AD70" i="54"/>
  <c r="AD62" i="54"/>
  <c r="AG68" i="54"/>
  <c r="AG67" i="54"/>
  <c r="AD65" i="54"/>
  <c r="AD68" i="54"/>
  <c r="AD61" i="54"/>
  <c r="AD69" i="54"/>
  <c r="AD66" i="54"/>
  <c r="AD67" i="54"/>
  <c r="N16" i="54"/>
  <c r="M16" i="54"/>
  <c r="O16" i="54"/>
  <c r="P16" i="54"/>
  <c r="T16" i="54" l="1"/>
  <c r="Q16" i="54"/>
  <c r="Y2" i="55"/>
  <c r="Y16" i="54"/>
  <c r="L2" i="55" s="1"/>
  <c r="M2" i="55"/>
  <c r="X16" i="54"/>
  <c r="K2" i="55" s="1"/>
  <c r="Z16" i="54"/>
  <c r="U16" i="54"/>
  <c r="V16" i="54"/>
  <c r="S16" i="54"/>
  <c r="AA16" i="54"/>
  <c r="R16" i="54"/>
  <c r="J105" i="55" l="1"/>
  <c r="J109" i="55"/>
  <c r="J98" i="55"/>
  <c r="J84" i="55"/>
  <c r="J78" i="55"/>
  <c r="J66" i="55"/>
  <c r="G108" i="55"/>
  <c r="G104" i="55"/>
  <c r="G97" i="55"/>
  <c r="G81" i="55"/>
  <c r="G61" i="55"/>
  <c r="G66" i="55"/>
  <c r="H94" i="55"/>
  <c r="H103" i="55"/>
  <c r="H78" i="55"/>
  <c r="H64" i="55"/>
  <c r="H69" i="55"/>
  <c r="I108" i="55"/>
  <c r="I59" i="55"/>
  <c r="I83" i="55"/>
  <c r="I74" i="55"/>
  <c r="I89" i="55"/>
  <c r="H111" i="55"/>
  <c r="H101" i="55"/>
  <c r="H84" i="55"/>
  <c r="H68" i="55"/>
  <c r="H76" i="55"/>
  <c r="I100" i="55"/>
  <c r="I91" i="55"/>
  <c r="I86" i="55"/>
  <c r="I71" i="55"/>
  <c r="J100" i="55"/>
  <c r="J86" i="55"/>
  <c r="J91" i="55"/>
  <c r="J71" i="55"/>
  <c r="I76" i="55"/>
  <c r="I63" i="55"/>
  <c r="I90" i="55"/>
  <c r="I69" i="55"/>
  <c r="I60" i="55"/>
  <c r="G109" i="55"/>
  <c r="K109" i="55" s="1"/>
  <c r="M109" i="55" s="1"/>
  <c r="X109" i="55" s="1"/>
  <c r="AK109" i="55" s="1"/>
  <c r="G86" i="55"/>
  <c r="G74" i="55"/>
  <c r="G92" i="55"/>
  <c r="G70" i="55"/>
  <c r="I99" i="55"/>
  <c r="I110" i="55"/>
  <c r="I104" i="55"/>
  <c r="I68" i="55"/>
  <c r="L68" i="55" s="1"/>
  <c r="Y68" i="55" s="1"/>
  <c r="AJ68" i="55" s="1"/>
  <c r="AQ68" i="55" s="1"/>
  <c r="I73" i="55"/>
  <c r="J94" i="55"/>
  <c r="J88" i="55"/>
  <c r="J61" i="55"/>
  <c r="J82" i="55"/>
  <c r="G98" i="55"/>
  <c r="G89" i="55"/>
  <c r="G71" i="55"/>
  <c r="G80" i="55"/>
  <c r="G85" i="55"/>
  <c r="I94" i="55"/>
  <c r="I61" i="55"/>
  <c r="I82" i="55"/>
  <c r="I88" i="55"/>
  <c r="J108" i="55"/>
  <c r="J59" i="55"/>
  <c r="J89" i="55"/>
  <c r="J74" i="55"/>
  <c r="J83" i="55"/>
  <c r="G93" i="55"/>
  <c r="G88" i="55"/>
  <c r="G60" i="55"/>
  <c r="G73" i="55"/>
  <c r="J60" i="55"/>
  <c r="J76" i="55"/>
  <c r="J63" i="55"/>
  <c r="J69" i="55"/>
  <c r="J90" i="55"/>
  <c r="G103" i="55"/>
  <c r="G94" i="55"/>
  <c r="G78" i="55"/>
  <c r="G64" i="55"/>
  <c r="G69" i="55"/>
  <c r="H95" i="55"/>
  <c r="H100" i="55"/>
  <c r="L100" i="55" s="1"/>
  <c r="Y100" i="55" s="1"/>
  <c r="AJ100" i="55" s="1"/>
  <c r="AV100" i="55" s="1"/>
  <c r="H106" i="55"/>
  <c r="H87" i="55"/>
  <c r="H82" i="55"/>
  <c r="H98" i="55"/>
  <c r="H85" i="55"/>
  <c r="H89" i="55"/>
  <c r="H80" i="55"/>
  <c r="H71" i="55"/>
  <c r="H99" i="55"/>
  <c r="H58" i="55"/>
  <c r="H77" i="55"/>
  <c r="H65" i="55"/>
  <c r="H93" i="55"/>
  <c r="H73" i="55"/>
  <c r="H60" i="55"/>
  <c r="H88" i="55"/>
  <c r="H112" i="55"/>
  <c r="H105" i="55"/>
  <c r="H91" i="55"/>
  <c r="H59" i="55"/>
  <c r="H63" i="55"/>
  <c r="G105" i="55"/>
  <c r="G112" i="55"/>
  <c r="G63" i="55"/>
  <c r="G59" i="55"/>
  <c r="G91" i="55"/>
  <c r="J97" i="55"/>
  <c r="J107" i="55"/>
  <c r="J92" i="55"/>
  <c r="J58" i="55"/>
  <c r="J64" i="55"/>
  <c r="J101" i="55"/>
  <c r="J79" i="55"/>
  <c r="J75" i="55"/>
  <c r="J85" i="55"/>
  <c r="J70" i="55"/>
  <c r="I93" i="55"/>
  <c r="I112" i="55"/>
  <c r="I103" i="55"/>
  <c r="I72" i="55"/>
  <c r="I87" i="55"/>
  <c r="I81" i="55"/>
  <c r="J111" i="55"/>
  <c r="J95" i="55"/>
  <c r="J67" i="55"/>
  <c r="J62" i="55"/>
  <c r="J77" i="55"/>
  <c r="G102" i="55"/>
  <c r="G110" i="55"/>
  <c r="G107" i="55"/>
  <c r="G75" i="55"/>
  <c r="G67" i="55"/>
  <c r="G72" i="55"/>
  <c r="I97" i="55"/>
  <c r="I107" i="55"/>
  <c r="I64" i="55"/>
  <c r="I58" i="55"/>
  <c r="I92" i="55"/>
  <c r="I106" i="55"/>
  <c r="I102" i="55"/>
  <c r="I96" i="55"/>
  <c r="I80" i="55"/>
  <c r="I65" i="55"/>
  <c r="H104" i="55"/>
  <c r="H97" i="55"/>
  <c r="H108" i="55"/>
  <c r="H66" i="55"/>
  <c r="H81" i="55"/>
  <c r="H61" i="55"/>
  <c r="H109" i="55"/>
  <c r="H74" i="55"/>
  <c r="H92" i="55"/>
  <c r="H70" i="55"/>
  <c r="H86" i="55"/>
  <c r="L86" i="55" s="1"/>
  <c r="Y86" i="55" s="1"/>
  <c r="AJ86" i="55" s="1"/>
  <c r="AU86" i="55" s="1"/>
  <c r="I98" i="55"/>
  <c r="I105" i="55"/>
  <c r="I109" i="55"/>
  <c r="I84" i="55"/>
  <c r="I78" i="55"/>
  <c r="I66" i="55"/>
  <c r="G96" i="55"/>
  <c r="G90" i="55"/>
  <c r="G79" i="55"/>
  <c r="G83" i="55"/>
  <c r="G62" i="55"/>
  <c r="J93" i="55"/>
  <c r="J112" i="55"/>
  <c r="K112" i="55" s="1"/>
  <c r="M112" i="55" s="1"/>
  <c r="X112" i="55" s="1"/>
  <c r="AO112" i="55" s="1"/>
  <c r="J103" i="55"/>
  <c r="J87" i="55"/>
  <c r="J72" i="55"/>
  <c r="J81" i="55"/>
  <c r="K81" i="55" s="1"/>
  <c r="M81" i="55" s="1"/>
  <c r="X81" i="55" s="1"/>
  <c r="I111" i="55"/>
  <c r="I95" i="55"/>
  <c r="I67" i="55"/>
  <c r="I77" i="55"/>
  <c r="I62" i="55"/>
  <c r="G99" i="55"/>
  <c r="G58" i="55"/>
  <c r="G65" i="55"/>
  <c r="G77" i="55"/>
  <c r="H102" i="55"/>
  <c r="H110" i="55"/>
  <c r="H107" i="55"/>
  <c r="H72" i="55"/>
  <c r="L72" i="55" s="1"/>
  <c r="Y72" i="55" s="1"/>
  <c r="AJ72" i="55" s="1"/>
  <c r="AT72" i="55" s="1"/>
  <c r="H75" i="55"/>
  <c r="H67" i="55"/>
  <c r="I101" i="55"/>
  <c r="I75" i="55"/>
  <c r="I85" i="55"/>
  <c r="L85" i="55" s="1"/>
  <c r="Y85" i="55" s="1"/>
  <c r="AJ85" i="55" s="1"/>
  <c r="AT85" i="55" s="1"/>
  <c r="I70" i="55"/>
  <c r="I79" i="55"/>
  <c r="G95" i="55"/>
  <c r="G100" i="55"/>
  <c r="G106" i="55"/>
  <c r="G82" i="55"/>
  <c r="G87" i="55"/>
  <c r="G111" i="55"/>
  <c r="G101" i="55"/>
  <c r="G84" i="55"/>
  <c r="G68" i="55"/>
  <c r="G76" i="55"/>
  <c r="H96" i="55"/>
  <c r="H62" i="55"/>
  <c r="H83" i="55"/>
  <c r="H90" i="55"/>
  <c r="H79" i="55"/>
  <c r="J99" i="55"/>
  <c r="J110" i="55"/>
  <c r="J104" i="55"/>
  <c r="J73" i="55"/>
  <c r="J68" i="55"/>
  <c r="J102" i="55"/>
  <c r="J96" i="55"/>
  <c r="J106" i="55"/>
  <c r="J80" i="55"/>
  <c r="J65" i="55"/>
  <c r="L73" i="55"/>
  <c r="Y73" i="55" s="1"/>
  <c r="AJ73" i="55" s="1"/>
  <c r="AV73" i="55" s="1"/>
  <c r="L93" i="55"/>
  <c r="Y93" i="55" s="1"/>
  <c r="AJ93" i="55" s="1"/>
  <c r="AQ93" i="55" s="1"/>
  <c r="AD14" i="54"/>
  <c r="E16" i="44" s="1"/>
  <c r="G53" i="55"/>
  <c r="G34" i="55"/>
  <c r="G28" i="55"/>
  <c r="G4" i="55"/>
  <c r="G19" i="55"/>
  <c r="I41" i="55"/>
  <c r="I35" i="55"/>
  <c r="I24" i="55"/>
  <c r="I7" i="55"/>
  <c r="I28" i="55"/>
  <c r="AD10" i="54"/>
  <c r="E7" i="44" s="1"/>
  <c r="G36" i="55"/>
  <c r="G45" i="55"/>
  <c r="G31" i="55"/>
  <c r="G16" i="55"/>
  <c r="AG11" i="54"/>
  <c r="F9" i="44" s="1"/>
  <c r="H12" i="55"/>
  <c r="H7" i="55"/>
  <c r="H40" i="55"/>
  <c r="H22" i="55"/>
  <c r="H56" i="55"/>
  <c r="J47" i="55"/>
  <c r="J17" i="55"/>
  <c r="J12" i="55"/>
  <c r="J20" i="55"/>
  <c r="J52" i="55"/>
  <c r="J55" i="55"/>
  <c r="AD8" i="54"/>
  <c r="E15" i="44" s="1"/>
  <c r="G10" i="55"/>
  <c r="G25" i="55"/>
  <c r="G51" i="55"/>
  <c r="G41" i="55"/>
  <c r="G47" i="55"/>
  <c r="I10" i="55"/>
  <c r="I44" i="55"/>
  <c r="I22" i="55"/>
  <c r="I3" i="55"/>
  <c r="I14" i="55"/>
  <c r="I48" i="55"/>
  <c r="I39" i="55"/>
  <c r="I9" i="55"/>
  <c r="I23" i="55"/>
  <c r="AD11" i="54"/>
  <c r="E9" i="44" s="1"/>
  <c r="G56" i="55"/>
  <c r="G40" i="55"/>
  <c r="G7" i="55"/>
  <c r="G12" i="55"/>
  <c r="G22" i="55"/>
  <c r="AG5" i="54"/>
  <c r="F6" i="44" s="1"/>
  <c r="H48" i="55"/>
  <c r="H57" i="55"/>
  <c r="H17" i="55"/>
  <c r="H32" i="55"/>
  <c r="H26" i="55"/>
  <c r="H38" i="55"/>
  <c r="AG12" i="54"/>
  <c r="F11" i="44" s="1"/>
  <c r="H52" i="55"/>
  <c r="H42" i="55"/>
  <c r="H9" i="55"/>
  <c r="H3" i="55"/>
  <c r="H37" i="55"/>
  <c r="J30" i="55"/>
  <c r="J34" i="55"/>
  <c r="J43" i="55"/>
  <c r="J16" i="55"/>
  <c r="J25" i="55"/>
  <c r="J33" i="55"/>
  <c r="J38" i="55"/>
  <c r="J18" i="55"/>
  <c r="J5" i="55"/>
  <c r="I12" i="55"/>
  <c r="I52" i="55"/>
  <c r="I47" i="55"/>
  <c r="I20" i="55"/>
  <c r="I17" i="55"/>
  <c r="I55" i="55"/>
  <c r="I42" i="55"/>
  <c r="I26" i="55"/>
  <c r="I6" i="55"/>
  <c r="I49" i="55"/>
  <c r="I11" i="55"/>
  <c r="I53" i="55"/>
  <c r="AD15" i="54"/>
  <c r="E13" i="44" s="1"/>
  <c r="G27" i="55"/>
  <c r="G39" i="55"/>
  <c r="G33" i="55"/>
  <c r="G6" i="55"/>
  <c r="AG14" i="54"/>
  <c r="F16" i="44" s="1"/>
  <c r="H53" i="55"/>
  <c r="H28" i="55"/>
  <c r="L28" i="55" s="1"/>
  <c r="Y28" i="55" s="1"/>
  <c r="AJ28" i="55" s="1"/>
  <c r="AV28" i="55" s="1"/>
  <c r="H4" i="55"/>
  <c r="H19" i="55"/>
  <c r="H34" i="55"/>
  <c r="AG6" i="54"/>
  <c r="F10" i="44" s="1"/>
  <c r="H54" i="55"/>
  <c r="H11" i="55"/>
  <c r="H29" i="55"/>
  <c r="H23" i="55"/>
  <c r="L23" i="55" s="1"/>
  <c r="Y23" i="55" s="1"/>
  <c r="AJ23" i="55" s="1"/>
  <c r="AV23" i="55" s="1"/>
  <c r="H50" i="55"/>
  <c r="H43" i="55"/>
  <c r="J39" i="55"/>
  <c r="J23" i="55"/>
  <c r="J14" i="55"/>
  <c r="J48" i="55"/>
  <c r="J9" i="55"/>
  <c r="AG9" i="54"/>
  <c r="F14" i="44" s="1"/>
  <c r="H35" i="55"/>
  <c r="H5" i="55"/>
  <c r="H8" i="55"/>
  <c r="H21" i="55"/>
  <c r="H14" i="55"/>
  <c r="I29" i="55"/>
  <c r="I46" i="55"/>
  <c r="I56" i="55"/>
  <c r="I21" i="55"/>
  <c r="I13" i="55"/>
  <c r="I37" i="55"/>
  <c r="I31" i="55"/>
  <c r="I19" i="55"/>
  <c r="I15" i="55"/>
  <c r="I54" i="55"/>
  <c r="G43" i="55"/>
  <c r="AD6" i="54"/>
  <c r="E10" i="44" s="1"/>
  <c r="G23" i="55"/>
  <c r="G50" i="55"/>
  <c r="G29" i="55"/>
  <c r="G11" i="55"/>
  <c r="G54" i="55"/>
  <c r="AG10" i="54"/>
  <c r="F7" i="44" s="1"/>
  <c r="H45" i="55"/>
  <c r="H16" i="55"/>
  <c r="H36" i="55"/>
  <c r="H31" i="55"/>
  <c r="AG8" i="54"/>
  <c r="F15" i="44" s="1"/>
  <c r="H41" i="55"/>
  <c r="H10" i="55"/>
  <c r="H47" i="55"/>
  <c r="H51" i="55"/>
  <c r="H25" i="55"/>
  <c r="J26" i="55"/>
  <c r="J42" i="55"/>
  <c r="J53" i="55"/>
  <c r="J49" i="55"/>
  <c r="J11" i="55"/>
  <c r="J6" i="55"/>
  <c r="I38" i="55"/>
  <c r="I18" i="55"/>
  <c r="I5" i="55"/>
  <c r="I33" i="55"/>
  <c r="AD7" i="54"/>
  <c r="E12" i="44" s="1"/>
  <c r="G49" i="55"/>
  <c r="G18" i="55"/>
  <c r="G55" i="55"/>
  <c r="G13" i="55"/>
  <c r="G44" i="55"/>
  <c r="AG13" i="54"/>
  <c r="F8" i="44" s="1"/>
  <c r="H15" i="55"/>
  <c r="H46" i="55"/>
  <c r="H30" i="55"/>
  <c r="H24" i="55"/>
  <c r="L24" i="55" s="1"/>
  <c r="Y24" i="55" s="1"/>
  <c r="AJ24" i="55" s="1"/>
  <c r="AV24" i="55" s="1"/>
  <c r="H20" i="55"/>
  <c r="J10" i="55"/>
  <c r="J44" i="55"/>
  <c r="J3" i="55"/>
  <c r="J22" i="55"/>
  <c r="J32" i="55"/>
  <c r="J40" i="55"/>
  <c r="J45" i="55"/>
  <c r="J51" i="55"/>
  <c r="J27" i="55"/>
  <c r="I25" i="55"/>
  <c r="I16" i="55"/>
  <c r="I30" i="55"/>
  <c r="I34" i="55"/>
  <c r="I43" i="55"/>
  <c r="AD5" i="54"/>
  <c r="E6" i="44" s="1"/>
  <c r="G26" i="55"/>
  <c r="G38" i="55"/>
  <c r="G17" i="55"/>
  <c r="G57" i="55"/>
  <c r="G32" i="55"/>
  <c r="G48" i="55"/>
  <c r="G15" i="55"/>
  <c r="AD13" i="54"/>
  <c r="E8" i="44" s="1"/>
  <c r="G24" i="55"/>
  <c r="G46" i="55"/>
  <c r="G30" i="55"/>
  <c r="G20" i="55"/>
  <c r="AG15" i="54"/>
  <c r="F13" i="44" s="1"/>
  <c r="H33" i="55"/>
  <c r="H6" i="55"/>
  <c r="H27" i="55"/>
  <c r="H39" i="55"/>
  <c r="J29" i="55"/>
  <c r="J21" i="55"/>
  <c r="J46" i="55"/>
  <c r="J56" i="55"/>
  <c r="J13" i="55"/>
  <c r="J8" i="55"/>
  <c r="J50" i="55"/>
  <c r="J57" i="55"/>
  <c r="J36" i="55"/>
  <c r="J4" i="55"/>
  <c r="I51" i="55"/>
  <c r="I45" i="55"/>
  <c r="I32" i="55"/>
  <c r="I27" i="55"/>
  <c r="I40" i="55"/>
  <c r="I8" i="55"/>
  <c r="I57" i="55"/>
  <c r="I36" i="55"/>
  <c r="I50" i="55"/>
  <c r="I4" i="55"/>
  <c r="AD9" i="54"/>
  <c r="E14" i="44" s="1"/>
  <c r="G5" i="55"/>
  <c r="G14" i="55"/>
  <c r="G21" i="55"/>
  <c r="G35" i="55"/>
  <c r="G8" i="55"/>
  <c r="G9" i="55"/>
  <c r="AD12" i="54"/>
  <c r="E11" i="44" s="1"/>
  <c r="G52" i="55"/>
  <c r="G37" i="55"/>
  <c r="G42" i="55"/>
  <c r="G3" i="55"/>
  <c r="AG7" i="54"/>
  <c r="F12" i="44" s="1"/>
  <c r="H49" i="55"/>
  <c r="H18" i="55"/>
  <c r="H55" i="55"/>
  <c r="H44" i="55"/>
  <c r="H13" i="55"/>
  <c r="J35" i="55"/>
  <c r="J24" i="55"/>
  <c r="J28" i="55"/>
  <c r="J7" i="55"/>
  <c r="J41" i="55"/>
  <c r="J15" i="55"/>
  <c r="J19" i="55"/>
  <c r="J31" i="55"/>
  <c r="J37" i="55"/>
  <c r="J54" i="55"/>
  <c r="K105" i="55" l="1"/>
  <c r="M105" i="55" s="1"/>
  <c r="X105" i="55" s="1"/>
  <c r="AL105" i="55" s="1"/>
  <c r="K97" i="55"/>
  <c r="M97" i="55" s="1"/>
  <c r="X97" i="55" s="1"/>
  <c r="AO97" i="55" s="1"/>
  <c r="K60" i="55"/>
  <c r="M60" i="55" s="1"/>
  <c r="X60" i="55" s="1"/>
  <c r="L69" i="55"/>
  <c r="Y69" i="55" s="1"/>
  <c r="AJ69" i="55" s="1"/>
  <c r="AR69" i="55" s="1"/>
  <c r="L96" i="55"/>
  <c r="Y96" i="55" s="1"/>
  <c r="AJ96" i="55" s="1"/>
  <c r="AV96" i="55" s="1"/>
  <c r="K72" i="55"/>
  <c r="M72" i="55" s="1"/>
  <c r="X72" i="55" s="1"/>
  <c r="L84" i="55"/>
  <c r="Y84" i="55" s="1"/>
  <c r="AJ84" i="55" s="1"/>
  <c r="AQ84" i="55" s="1"/>
  <c r="K76" i="55"/>
  <c r="M76" i="55" s="1"/>
  <c r="X76" i="55" s="1"/>
  <c r="AL76" i="55" s="1"/>
  <c r="K80" i="55"/>
  <c r="M80" i="55" s="1"/>
  <c r="X80" i="55" s="1"/>
  <c r="AN80" i="55" s="1"/>
  <c r="L107" i="55"/>
  <c r="Y107" i="55" s="1"/>
  <c r="AJ107" i="55" s="1"/>
  <c r="AQ107" i="55" s="1"/>
  <c r="L47" i="55"/>
  <c r="Y47" i="55" s="1"/>
  <c r="AJ47" i="55" s="1"/>
  <c r="AS47" i="55" s="1"/>
  <c r="K85" i="55"/>
  <c r="M85" i="55" s="1"/>
  <c r="X85" i="55" s="1"/>
  <c r="AN85" i="55" s="1"/>
  <c r="K98" i="55"/>
  <c r="M98" i="55" s="1"/>
  <c r="X98" i="55" s="1"/>
  <c r="AO98" i="55" s="1"/>
  <c r="K62" i="55"/>
  <c r="M62" i="55" s="1"/>
  <c r="X62" i="55" s="1"/>
  <c r="AK62" i="55" s="1"/>
  <c r="K59" i="55"/>
  <c r="M59" i="55" s="1"/>
  <c r="X59" i="55" s="1"/>
  <c r="AL59" i="55" s="1"/>
  <c r="L80" i="55"/>
  <c r="Y80" i="55" s="1"/>
  <c r="AJ80" i="55" s="1"/>
  <c r="AR80" i="55" s="1"/>
  <c r="L67" i="55"/>
  <c r="Y67" i="55" s="1"/>
  <c r="AJ67" i="55" s="1"/>
  <c r="AT67" i="55" s="1"/>
  <c r="K58" i="55"/>
  <c r="M58" i="55" s="1"/>
  <c r="X58" i="55" s="1"/>
  <c r="AO58" i="55" s="1"/>
  <c r="L97" i="55"/>
  <c r="Y97" i="55" s="1"/>
  <c r="AJ97" i="55" s="1"/>
  <c r="AS97" i="55" s="1"/>
  <c r="K77" i="55"/>
  <c r="M77" i="55" s="1"/>
  <c r="X77" i="55" s="1"/>
  <c r="AO77" i="55" s="1"/>
  <c r="L102" i="55"/>
  <c r="Y102" i="55" s="1"/>
  <c r="AJ102" i="55" s="1"/>
  <c r="AV102" i="55" s="1"/>
  <c r="K67" i="55"/>
  <c r="M67" i="55" s="1"/>
  <c r="X67" i="55" s="1"/>
  <c r="AL67" i="55" s="1"/>
  <c r="L59" i="55"/>
  <c r="Y59" i="55" s="1"/>
  <c r="AJ59" i="55" s="1"/>
  <c r="AQ59" i="55" s="1"/>
  <c r="L108" i="55"/>
  <c r="Y108" i="55" s="1"/>
  <c r="AJ108" i="55" s="1"/>
  <c r="AU108" i="55" s="1"/>
  <c r="K91" i="55"/>
  <c r="M91" i="55" s="1"/>
  <c r="X91" i="55" s="1"/>
  <c r="AM91" i="55" s="1"/>
  <c r="L112" i="55"/>
  <c r="Y112" i="55" s="1"/>
  <c r="AJ112" i="55" s="1"/>
  <c r="AQ112" i="55" s="1"/>
  <c r="K61" i="55"/>
  <c r="M61" i="55" s="1"/>
  <c r="X61" i="55" s="1"/>
  <c r="AN61" i="55" s="1"/>
  <c r="K93" i="55"/>
  <c r="M93" i="55" s="1"/>
  <c r="X93" i="55" s="1"/>
  <c r="AM93" i="55" s="1"/>
  <c r="L61" i="55"/>
  <c r="Y61" i="55" s="1"/>
  <c r="AJ61" i="55" s="1"/>
  <c r="AS61" i="55" s="1"/>
  <c r="L63" i="55"/>
  <c r="Y63" i="55" s="1"/>
  <c r="AJ63" i="55" s="1"/>
  <c r="AT63" i="55" s="1"/>
  <c r="K87" i="55"/>
  <c r="M87" i="55" s="1"/>
  <c r="X87" i="55" s="1"/>
  <c r="AN87" i="55" s="1"/>
  <c r="K70" i="55"/>
  <c r="M70" i="55" s="1"/>
  <c r="X70" i="55" s="1"/>
  <c r="AP70" i="55" s="1"/>
  <c r="K78" i="55"/>
  <c r="M78" i="55" s="1"/>
  <c r="X78" i="55" s="1"/>
  <c r="AP78" i="55" s="1"/>
  <c r="K79" i="55"/>
  <c r="M79" i="55" s="1"/>
  <c r="X79" i="55" s="1"/>
  <c r="AL79" i="55" s="1"/>
  <c r="L106" i="55"/>
  <c r="Y106" i="55" s="1"/>
  <c r="AJ106" i="55" s="1"/>
  <c r="AQ106" i="55" s="1"/>
  <c r="L91" i="55"/>
  <c r="Y91" i="55" s="1"/>
  <c r="AJ91" i="55" s="1"/>
  <c r="AS91" i="55" s="1"/>
  <c r="K90" i="55"/>
  <c r="M90" i="55" s="1"/>
  <c r="X90" i="55" s="1"/>
  <c r="AM90" i="55" s="1"/>
  <c r="K110" i="55"/>
  <c r="M110" i="55" s="1"/>
  <c r="X110" i="55" s="1"/>
  <c r="AN110" i="55" s="1"/>
  <c r="L92" i="55"/>
  <c r="Y92" i="55" s="1"/>
  <c r="AJ92" i="55" s="1"/>
  <c r="AV92" i="55" s="1"/>
  <c r="K69" i="55"/>
  <c r="M69" i="55" s="1"/>
  <c r="X69" i="55" s="1"/>
  <c r="AL69" i="55" s="1"/>
  <c r="K92" i="55"/>
  <c r="M92" i="55" s="1"/>
  <c r="X92" i="55" s="1"/>
  <c r="AM92" i="55" s="1"/>
  <c r="K102" i="55"/>
  <c r="M102" i="55" s="1"/>
  <c r="X102" i="55" s="1"/>
  <c r="AN102" i="55" s="1"/>
  <c r="L83" i="55"/>
  <c r="Y83" i="55" s="1"/>
  <c r="AJ83" i="55" s="1"/>
  <c r="AS83" i="55" s="1"/>
  <c r="K83" i="55"/>
  <c r="M83" i="55" s="1"/>
  <c r="X83" i="55" s="1"/>
  <c r="AL83" i="55" s="1"/>
  <c r="K68" i="55"/>
  <c r="M68" i="55" s="1"/>
  <c r="X68" i="55" s="1"/>
  <c r="AO68" i="55" s="1"/>
  <c r="L62" i="55"/>
  <c r="Y62" i="55" s="1"/>
  <c r="AJ62" i="55" s="1"/>
  <c r="AT62" i="55" s="1"/>
  <c r="K65" i="55"/>
  <c r="M65" i="55" s="1"/>
  <c r="X65" i="55" s="1"/>
  <c r="AM65" i="55" s="1"/>
  <c r="L66" i="55"/>
  <c r="Y66" i="55" s="1"/>
  <c r="AJ66" i="55" s="1"/>
  <c r="AR66" i="55" s="1"/>
  <c r="K84" i="55"/>
  <c r="M84" i="55" s="1"/>
  <c r="X84" i="55" s="1"/>
  <c r="AM84" i="55" s="1"/>
  <c r="K108" i="55"/>
  <c r="M108" i="55" s="1"/>
  <c r="X108" i="55" s="1"/>
  <c r="AM108" i="55" s="1"/>
  <c r="L109" i="55"/>
  <c r="Y109" i="55" s="1"/>
  <c r="AJ109" i="55" s="1"/>
  <c r="AV109" i="55" s="1"/>
  <c r="K101" i="55"/>
  <c r="M101" i="55" s="1"/>
  <c r="X101" i="55" s="1"/>
  <c r="AL101" i="55" s="1"/>
  <c r="K86" i="55"/>
  <c r="M86" i="55" s="1"/>
  <c r="X86" i="55" s="1"/>
  <c r="AN86" i="55" s="1"/>
  <c r="K99" i="55"/>
  <c r="M99" i="55" s="1"/>
  <c r="X99" i="55" s="1"/>
  <c r="AM99" i="55" s="1"/>
  <c r="L74" i="55"/>
  <c r="Y74" i="55" s="1"/>
  <c r="AJ74" i="55" s="1"/>
  <c r="AV74" i="55" s="1"/>
  <c r="K64" i="55"/>
  <c r="M64" i="55" s="1"/>
  <c r="X64" i="55" s="1"/>
  <c r="AL64" i="55" s="1"/>
  <c r="L58" i="55"/>
  <c r="Y58" i="55" s="1"/>
  <c r="AJ58" i="55" s="1"/>
  <c r="AR58" i="55" s="1"/>
  <c r="L87" i="55"/>
  <c r="Y87" i="55" s="1"/>
  <c r="AJ87" i="55" s="1"/>
  <c r="AU87" i="55" s="1"/>
  <c r="K88" i="55"/>
  <c r="M88" i="55" s="1"/>
  <c r="X88" i="55" s="1"/>
  <c r="AK88" i="55" s="1"/>
  <c r="K5" i="55"/>
  <c r="M5" i="55" s="1"/>
  <c r="X5" i="55" s="1"/>
  <c r="AL5" i="55" s="1"/>
  <c r="L70" i="55"/>
  <c r="Y70" i="55" s="1"/>
  <c r="AJ70" i="55" s="1"/>
  <c r="AT70" i="55" s="1"/>
  <c r="K96" i="55"/>
  <c r="M96" i="55" s="1"/>
  <c r="X96" i="55" s="1"/>
  <c r="AL96" i="55" s="1"/>
  <c r="K103" i="55"/>
  <c r="M103" i="55" s="1"/>
  <c r="X103" i="55" s="1"/>
  <c r="AL103" i="55" s="1"/>
  <c r="L82" i="55"/>
  <c r="Y82" i="55" s="1"/>
  <c r="AJ82" i="55" s="1"/>
  <c r="AT82" i="55" s="1"/>
  <c r="L99" i="55"/>
  <c r="Y99" i="55" s="1"/>
  <c r="AJ99" i="55" s="1"/>
  <c r="AU99" i="55" s="1"/>
  <c r="L89" i="55"/>
  <c r="Y89" i="55" s="1"/>
  <c r="AJ89" i="55" s="1"/>
  <c r="AU89" i="55" s="1"/>
  <c r="K66" i="55"/>
  <c r="M66" i="55" s="1"/>
  <c r="X66" i="55" s="1"/>
  <c r="AN66" i="55" s="1"/>
  <c r="K3" i="55"/>
  <c r="M3" i="55" s="1"/>
  <c r="X3" i="55" s="1"/>
  <c r="AK3" i="55" s="1"/>
  <c r="L103" i="55"/>
  <c r="Y103" i="55" s="1"/>
  <c r="AJ103" i="55" s="1"/>
  <c r="AS103" i="55" s="1"/>
  <c r="K106" i="55"/>
  <c r="M106" i="55" s="1"/>
  <c r="X106" i="55" s="1"/>
  <c r="AO106" i="55" s="1"/>
  <c r="L90" i="55"/>
  <c r="Y90" i="55" s="1"/>
  <c r="AJ90" i="55" s="1"/>
  <c r="AU90" i="55" s="1"/>
  <c r="L105" i="55"/>
  <c r="Y105" i="55" s="1"/>
  <c r="AJ105" i="55" s="1"/>
  <c r="AT105" i="55" s="1"/>
  <c r="L81" i="55"/>
  <c r="Y81" i="55" s="1"/>
  <c r="AJ81" i="55" s="1"/>
  <c r="AS81" i="55" s="1"/>
  <c r="K107" i="55"/>
  <c r="M107" i="55" s="1"/>
  <c r="X107" i="55" s="1"/>
  <c r="AL107" i="55" s="1"/>
  <c r="K82" i="55"/>
  <c r="M82" i="55" s="1"/>
  <c r="X82" i="55" s="1"/>
  <c r="AP82" i="55" s="1"/>
  <c r="K75" i="55"/>
  <c r="M75" i="55" s="1"/>
  <c r="X75" i="55" s="1"/>
  <c r="AL75" i="55" s="1"/>
  <c r="L88" i="55"/>
  <c r="Y88" i="55" s="1"/>
  <c r="AJ88" i="55" s="1"/>
  <c r="AT88" i="55" s="1"/>
  <c r="K111" i="55"/>
  <c r="M111" i="55" s="1"/>
  <c r="X111" i="55" s="1"/>
  <c r="AP111" i="55" s="1"/>
  <c r="L71" i="55"/>
  <c r="Y71" i="55" s="1"/>
  <c r="AJ71" i="55" s="1"/>
  <c r="AS71" i="55" s="1"/>
  <c r="L77" i="55"/>
  <c r="Y77" i="55" s="1"/>
  <c r="AJ77" i="55" s="1"/>
  <c r="AU77" i="55" s="1"/>
  <c r="L78" i="55"/>
  <c r="Y78" i="55" s="1"/>
  <c r="AJ78" i="55" s="1"/>
  <c r="AS78" i="55" s="1"/>
  <c r="L110" i="55"/>
  <c r="Y110" i="55" s="1"/>
  <c r="AJ110" i="55" s="1"/>
  <c r="AT110" i="55" s="1"/>
  <c r="L65" i="55"/>
  <c r="Y65" i="55" s="1"/>
  <c r="AJ65" i="55" s="1"/>
  <c r="AR65" i="55" s="1"/>
  <c r="L64" i="55"/>
  <c r="Y64" i="55" s="1"/>
  <c r="AJ64" i="55" s="1"/>
  <c r="AU64" i="55" s="1"/>
  <c r="L95" i="55"/>
  <c r="Y95" i="55" s="1"/>
  <c r="AJ95" i="55" s="1"/>
  <c r="AT95" i="55" s="1"/>
  <c r="K63" i="55"/>
  <c r="M63" i="55" s="1"/>
  <c r="X63" i="55" s="1"/>
  <c r="AP63" i="55" s="1"/>
  <c r="K94" i="55"/>
  <c r="M94" i="55" s="1"/>
  <c r="X94" i="55" s="1"/>
  <c r="AP94" i="55" s="1"/>
  <c r="K74" i="55"/>
  <c r="M74" i="55" s="1"/>
  <c r="X74" i="55" s="1"/>
  <c r="AP74" i="55" s="1"/>
  <c r="K71" i="55"/>
  <c r="M71" i="55" s="1"/>
  <c r="X71" i="55" s="1"/>
  <c r="AK71" i="55" s="1"/>
  <c r="L76" i="55"/>
  <c r="Y76" i="55" s="1"/>
  <c r="AJ76" i="55" s="1"/>
  <c r="AV76" i="55" s="1"/>
  <c r="L98" i="55"/>
  <c r="Y98" i="55" s="1"/>
  <c r="AJ98" i="55" s="1"/>
  <c r="AT98" i="55" s="1"/>
  <c r="K89" i="55"/>
  <c r="M89" i="55" s="1"/>
  <c r="X89" i="55" s="1"/>
  <c r="AO89" i="55" s="1"/>
  <c r="K73" i="55"/>
  <c r="M73" i="55" s="1"/>
  <c r="X73" i="55" s="1"/>
  <c r="AK73" i="55" s="1"/>
  <c r="L104" i="55"/>
  <c r="Y104" i="55" s="1"/>
  <c r="AJ104" i="55" s="1"/>
  <c r="AV104" i="55" s="1"/>
  <c r="L60" i="55"/>
  <c r="Y60" i="55" s="1"/>
  <c r="AJ60" i="55" s="1"/>
  <c r="AU60" i="55" s="1"/>
  <c r="K100" i="55"/>
  <c r="M100" i="55" s="1"/>
  <c r="X100" i="55" s="1"/>
  <c r="AM100" i="55" s="1"/>
  <c r="K104" i="55"/>
  <c r="M104" i="55" s="1"/>
  <c r="X104" i="55" s="1"/>
  <c r="AL104" i="55" s="1"/>
  <c r="L75" i="55"/>
  <c r="Y75" i="55" s="1"/>
  <c r="AJ75" i="55" s="1"/>
  <c r="AV75" i="55" s="1"/>
  <c r="L101" i="55"/>
  <c r="Y101" i="55" s="1"/>
  <c r="AJ101" i="55" s="1"/>
  <c r="AR101" i="55" s="1"/>
  <c r="K95" i="55"/>
  <c r="M95" i="55" s="1"/>
  <c r="X95" i="55" s="1"/>
  <c r="AK95" i="55" s="1"/>
  <c r="L79" i="55"/>
  <c r="Y79" i="55" s="1"/>
  <c r="AJ79" i="55" s="1"/>
  <c r="AS79" i="55" s="1"/>
  <c r="L111" i="55"/>
  <c r="Y111" i="55" s="1"/>
  <c r="AJ111" i="55" s="1"/>
  <c r="L94" i="55"/>
  <c r="Y94" i="55" s="1"/>
  <c r="AJ94" i="55" s="1"/>
  <c r="K32" i="55"/>
  <c r="M32" i="55" s="1"/>
  <c r="X32" i="55" s="1"/>
  <c r="AK32" i="55" s="1"/>
  <c r="AU73" i="55"/>
  <c r="K9" i="55"/>
  <c r="M9" i="55" s="1"/>
  <c r="X9" i="55" s="1"/>
  <c r="AM9" i="55" s="1"/>
  <c r="K20" i="55"/>
  <c r="M20" i="55" s="1"/>
  <c r="X20" i="55" s="1"/>
  <c r="AP20" i="55" s="1"/>
  <c r="L11" i="55"/>
  <c r="Y11" i="55" s="1"/>
  <c r="AJ11" i="55" s="1"/>
  <c r="AS11" i="55" s="1"/>
  <c r="L46" i="55"/>
  <c r="Y46" i="55" s="1"/>
  <c r="AJ46" i="55" s="1"/>
  <c r="AS46" i="55" s="1"/>
  <c r="AS86" i="55"/>
  <c r="AV86" i="55"/>
  <c r="L18" i="55"/>
  <c r="Y18" i="55" s="1"/>
  <c r="AJ18" i="55" s="1"/>
  <c r="AQ18" i="55" s="1"/>
  <c r="AT100" i="55"/>
  <c r="AV93" i="55"/>
  <c r="AQ85" i="55"/>
  <c r="AS85" i="55"/>
  <c r="AR85" i="55"/>
  <c r="AV85" i="55"/>
  <c r="AU85" i="55"/>
  <c r="AS93" i="55"/>
  <c r="AQ72" i="55"/>
  <c r="L3" i="55"/>
  <c r="Y3" i="55" s="1"/>
  <c r="AJ3" i="55" s="1"/>
  <c r="AR3" i="55" s="1"/>
  <c r="K46" i="55"/>
  <c r="M46" i="55" s="1"/>
  <c r="X46" i="55" s="1"/>
  <c r="AN46" i="55" s="1"/>
  <c r="K21" i="55"/>
  <c r="M21" i="55" s="1"/>
  <c r="X21" i="55" s="1"/>
  <c r="AO21" i="55" s="1"/>
  <c r="K26" i="55"/>
  <c r="M26" i="55" s="1"/>
  <c r="X26" i="55" s="1"/>
  <c r="AP26" i="55" s="1"/>
  <c r="L7" i="55"/>
  <c r="Y7" i="55" s="1"/>
  <c r="AJ7" i="55" s="1"/>
  <c r="AU7" i="55" s="1"/>
  <c r="K38" i="55"/>
  <c r="M38" i="55" s="1"/>
  <c r="X38" i="55" s="1"/>
  <c r="AO38" i="55" s="1"/>
  <c r="K42" i="55"/>
  <c r="M42" i="55" s="1"/>
  <c r="X42" i="55" s="1"/>
  <c r="AK42" i="55" s="1"/>
  <c r="K55" i="55"/>
  <c r="M55" i="55" s="1"/>
  <c r="X55" i="55" s="1"/>
  <c r="AM55" i="55" s="1"/>
  <c r="AU72" i="55"/>
  <c r="AS72" i="55"/>
  <c r="L13" i="55"/>
  <c r="Y13" i="55" s="1"/>
  <c r="AJ13" i="55" s="1"/>
  <c r="AR13" i="55" s="1"/>
  <c r="K18" i="55"/>
  <c r="M18" i="55" s="1"/>
  <c r="X18" i="55" s="1"/>
  <c r="AO18" i="55" s="1"/>
  <c r="AR72" i="55"/>
  <c r="AV72" i="55"/>
  <c r="L44" i="55"/>
  <c r="Y44" i="55" s="1"/>
  <c r="AJ44" i="55" s="1"/>
  <c r="AT44" i="55" s="1"/>
  <c r="L33" i="55"/>
  <c r="Y33" i="55" s="1"/>
  <c r="AJ33" i="55" s="1"/>
  <c r="AR33" i="55" s="1"/>
  <c r="L55" i="55"/>
  <c r="Y55" i="55" s="1"/>
  <c r="AJ55" i="55" s="1"/>
  <c r="AU55" i="55" s="1"/>
  <c r="L9" i="55"/>
  <c r="Y9" i="55" s="1"/>
  <c r="AJ9" i="55" s="1"/>
  <c r="AU9" i="55" s="1"/>
  <c r="AR100" i="55"/>
  <c r="L49" i="55"/>
  <c r="Y49" i="55" s="1"/>
  <c r="AJ49" i="55" s="1"/>
  <c r="AU49" i="55" s="1"/>
  <c r="L39" i="55"/>
  <c r="Y39" i="55" s="1"/>
  <c r="AJ39" i="55" s="1"/>
  <c r="AQ39" i="55" s="1"/>
  <c r="K43" i="55"/>
  <c r="M43" i="55" s="1"/>
  <c r="X43" i="55" s="1"/>
  <c r="AO43" i="55" s="1"/>
  <c r="AU93" i="55"/>
  <c r="AM112" i="55"/>
  <c r="AP112" i="55"/>
  <c r="AS100" i="55"/>
  <c r="AU100" i="55"/>
  <c r="AQ100" i="55"/>
  <c r="AT93" i="55"/>
  <c r="AL112" i="55"/>
  <c r="AK112" i="55"/>
  <c r="AR86" i="55"/>
  <c r="AQ86" i="55"/>
  <c r="AT86" i="55"/>
  <c r="AU24" i="55"/>
  <c r="AN112" i="55"/>
  <c r="AT24" i="55"/>
  <c r="AS24" i="55"/>
  <c r="AK97" i="55"/>
  <c r="AR93" i="55"/>
  <c r="AQ24" i="55"/>
  <c r="AR24" i="55"/>
  <c r="AS69" i="55"/>
  <c r="AM97" i="55"/>
  <c r="AQ69" i="55"/>
  <c r="AT73" i="55"/>
  <c r="AR73" i="55"/>
  <c r="AQ73" i="55"/>
  <c r="AS73" i="55"/>
  <c r="AK105" i="55"/>
  <c r="AO105" i="55"/>
  <c r="AP105" i="55"/>
  <c r="AN105" i="55"/>
  <c r="K48" i="55"/>
  <c r="M48" i="55" s="1"/>
  <c r="X48" i="55" s="1"/>
  <c r="AM48" i="55" s="1"/>
  <c r="L41" i="55"/>
  <c r="Y41" i="55" s="1"/>
  <c r="AJ41" i="55" s="1"/>
  <c r="AR41" i="55" s="1"/>
  <c r="L14" i="55"/>
  <c r="Y14" i="55" s="1"/>
  <c r="AJ14" i="55" s="1"/>
  <c r="AS14" i="55" s="1"/>
  <c r="K12" i="55"/>
  <c r="M12" i="55" s="1"/>
  <c r="X12" i="55" s="1"/>
  <c r="AL12" i="55" s="1"/>
  <c r="L15" i="55"/>
  <c r="Y15" i="55" s="1"/>
  <c r="AJ15" i="55" s="1"/>
  <c r="AU15" i="55" s="1"/>
  <c r="AM105" i="55"/>
  <c r="K30" i="55"/>
  <c r="M30" i="55" s="1"/>
  <c r="X30" i="55" s="1"/>
  <c r="AL30" i="55" s="1"/>
  <c r="K23" i="55"/>
  <c r="M23" i="55" s="1"/>
  <c r="X23" i="55" s="1"/>
  <c r="AM23" i="55" s="1"/>
  <c r="AO109" i="55"/>
  <c r="AN109" i="55"/>
  <c r="AL109" i="55"/>
  <c r="AM109" i="55"/>
  <c r="AL97" i="55"/>
  <c r="AP109" i="55"/>
  <c r="AU68" i="55"/>
  <c r="AN97" i="55"/>
  <c r="AP97" i="55"/>
  <c r="AS68" i="55"/>
  <c r="K37" i="55"/>
  <c r="M37" i="55" s="1"/>
  <c r="X37" i="55" s="1"/>
  <c r="AM37" i="55" s="1"/>
  <c r="L20" i="55"/>
  <c r="Y20" i="55" s="1"/>
  <c r="AJ20" i="55" s="1"/>
  <c r="AT23" i="55"/>
  <c r="AT68" i="55"/>
  <c r="K52" i="55"/>
  <c r="M52" i="55" s="1"/>
  <c r="X52" i="55" s="1"/>
  <c r="AN52" i="55" s="1"/>
  <c r="L10" i="55"/>
  <c r="Y10" i="55" s="1"/>
  <c r="AJ10" i="55" s="1"/>
  <c r="AR23" i="55"/>
  <c r="L30" i="55"/>
  <c r="Y30" i="55" s="1"/>
  <c r="AJ30" i="55" s="1"/>
  <c r="AS30" i="55" s="1"/>
  <c r="K11" i="55"/>
  <c r="M11" i="55" s="1"/>
  <c r="X11" i="55" s="1"/>
  <c r="AN11" i="55" s="1"/>
  <c r="L54" i="55"/>
  <c r="Y54" i="55" s="1"/>
  <c r="AJ54" i="55" s="1"/>
  <c r="AS54" i="55" s="1"/>
  <c r="K6" i="55"/>
  <c r="M6" i="55" s="1"/>
  <c r="X6" i="55" s="1"/>
  <c r="AO6" i="55" s="1"/>
  <c r="L38" i="55"/>
  <c r="Y38" i="55" s="1"/>
  <c r="AJ38" i="55" s="1"/>
  <c r="AR38" i="55" s="1"/>
  <c r="K51" i="55"/>
  <c r="M51" i="55" s="1"/>
  <c r="X51" i="55" s="1"/>
  <c r="AP51" i="55" s="1"/>
  <c r="K16" i="55"/>
  <c r="M16" i="55" s="1"/>
  <c r="X16" i="55" s="1"/>
  <c r="AL16" i="55" s="1"/>
  <c r="AQ28" i="55"/>
  <c r="AV68" i="55"/>
  <c r="K8" i="55"/>
  <c r="M8" i="55" s="1"/>
  <c r="X8" i="55" s="1"/>
  <c r="AK8" i="55" s="1"/>
  <c r="L31" i="55"/>
  <c r="Y31" i="55" s="1"/>
  <c r="AJ31" i="55" s="1"/>
  <c r="AQ23" i="55"/>
  <c r="AR68" i="55"/>
  <c r="K35" i="55"/>
  <c r="M35" i="55" s="1"/>
  <c r="X35" i="55" s="1"/>
  <c r="AM35" i="55" s="1"/>
  <c r="L25" i="55"/>
  <c r="Y25" i="55" s="1"/>
  <c r="AJ25" i="55" s="1"/>
  <c r="AQ25" i="55" s="1"/>
  <c r="AS23" i="55"/>
  <c r="AS28" i="55"/>
  <c r="AU23" i="55"/>
  <c r="AT28" i="55"/>
  <c r="AU28" i="55"/>
  <c r="AR28" i="55"/>
  <c r="K29" i="55"/>
  <c r="M29" i="55" s="1"/>
  <c r="X29" i="55" s="1"/>
  <c r="AP29" i="55" s="1"/>
  <c r="L21" i="55"/>
  <c r="Y21" i="55" s="1"/>
  <c r="AJ21" i="55" s="1"/>
  <c r="K33" i="55"/>
  <c r="M33" i="55" s="1"/>
  <c r="X33" i="55" s="1"/>
  <c r="AL33" i="55" s="1"/>
  <c r="L26" i="55"/>
  <c r="Y26" i="55" s="1"/>
  <c r="AJ26" i="55" s="1"/>
  <c r="K7" i="55"/>
  <c r="M7" i="55" s="1"/>
  <c r="X7" i="55" s="1"/>
  <c r="AL7" i="55" s="1"/>
  <c r="K25" i="55"/>
  <c r="M25" i="55" s="1"/>
  <c r="X25" i="55" s="1"/>
  <c r="AK25" i="55" s="1"/>
  <c r="K31" i="55"/>
  <c r="M31" i="55" s="1"/>
  <c r="X31" i="55" s="1"/>
  <c r="AN31" i="55" s="1"/>
  <c r="K57" i="55"/>
  <c r="M57" i="55" s="1"/>
  <c r="X57" i="55" s="1"/>
  <c r="AP57" i="55" s="1"/>
  <c r="K50" i="55"/>
  <c r="M50" i="55" s="1"/>
  <c r="X50" i="55" s="1"/>
  <c r="AN50" i="55" s="1"/>
  <c r="L8" i="55"/>
  <c r="Y8" i="55" s="1"/>
  <c r="AJ8" i="55" s="1"/>
  <c r="L34" i="55"/>
  <c r="Y34" i="55" s="1"/>
  <c r="AJ34" i="55" s="1"/>
  <c r="K39" i="55"/>
  <c r="M39" i="55" s="1"/>
  <c r="X39" i="55" s="1"/>
  <c r="L37" i="55"/>
  <c r="Y37" i="55" s="1"/>
  <c r="AJ37" i="55" s="1"/>
  <c r="L32" i="55"/>
  <c r="Y32" i="55" s="1"/>
  <c r="AJ32" i="55" s="1"/>
  <c r="K40" i="55"/>
  <c r="M40" i="55" s="1"/>
  <c r="X40" i="55" s="1"/>
  <c r="AN40" i="55" s="1"/>
  <c r="K10" i="55"/>
  <c r="M10" i="55" s="1"/>
  <c r="X10" i="55" s="1"/>
  <c r="AM10" i="55" s="1"/>
  <c r="L56" i="55"/>
  <c r="Y56" i="55" s="1"/>
  <c r="AJ56" i="55" s="1"/>
  <c r="K45" i="55"/>
  <c r="M45" i="55" s="1"/>
  <c r="X45" i="55" s="1"/>
  <c r="AN45" i="55" s="1"/>
  <c r="K19" i="55"/>
  <c r="M19" i="55" s="1"/>
  <c r="X19" i="55" s="1"/>
  <c r="AN19" i="55" s="1"/>
  <c r="K14" i="55"/>
  <c r="M14" i="55" s="1"/>
  <c r="X14" i="55" s="1"/>
  <c r="AL14" i="55" s="1"/>
  <c r="K17" i="55"/>
  <c r="M17" i="55" s="1"/>
  <c r="X17" i="55" s="1"/>
  <c r="AK17" i="55" s="1"/>
  <c r="L36" i="55"/>
  <c r="Y36" i="55" s="1"/>
  <c r="AJ36" i="55" s="1"/>
  <c r="L5" i="55"/>
  <c r="Y5" i="55" s="1"/>
  <c r="AJ5" i="55" s="1"/>
  <c r="L43" i="55"/>
  <c r="Y43" i="55" s="1"/>
  <c r="AJ43" i="55" s="1"/>
  <c r="L19" i="55"/>
  <c r="Y19" i="55" s="1"/>
  <c r="AJ19" i="55" s="1"/>
  <c r="K27" i="55"/>
  <c r="M27" i="55" s="1"/>
  <c r="X27" i="55" s="1"/>
  <c r="AL27" i="55" s="1"/>
  <c r="L17" i="55"/>
  <c r="Y17" i="55" s="1"/>
  <c r="AJ17" i="55" s="1"/>
  <c r="K56" i="55"/>
  <c r="M56" i="55" s="1"/>
  <c r="X56" i="55" s="1"/>
  <c r="AK56" i="55" s="1"/>
  <c r="L22" i="55"/>
  <c r="Y22" i="55" s="1"/>
  <c r="AJ22" i="55" s="1"/>
  <c r="K36" i="55"/>
  <c r="M36" i="55" s="1"/>
  <c r="X36" i="55" s="1"/>
  <c r="AP36" i="55" s="1"/>
  <c r="K4" i="55"/>
  <c r="M4" i="55" s="1"/>
  <c r="X4" i="55" s="1"/>
  <c r="AK4" i="55" s="1"/>
  <c r="K49" i="55"/>
  <c r="M49" i="55" s="1"/>
  <c r="X49" i="55" s="1"/>
  <c r="AM49" i="55" s="1"/>
  <c r="K44" i="55"/>
  <c r="M44" i="55" s="1"/>
  <c r="X44" i="55" s="1"/>
  <c r="AP44" i="55" s="1"/>
  <c r="L16" i="55"/>
  <c r="Y16" i="55" s="1"/>
  <c r="AJ16" i="55" s="1"/>
  <c r="L35" i="55"/>
  <c r="Y35" i="55" s="1"/>
  <c r="AJ35" i="55" s="1"/>
  <c r="L50" i="55"/>
  <c r="Y50" i="55" s="1"/>
  <c r="AJ50" i="55" s="1"/>
  <c r="L4" i="55"/>
  <c r="Y4" i="55" s="1"/>
  <c r="AJ4" i="55" s="1"/>
  <c r="L57" i="55"/>
  <c r="Y57" i="55" s="1"/>
  <c r="AJ57" i="55" s="1"/>
  <c r="L40" i="55"/>
  <c r="Y40" i="55" s="1"/>
  <c r="AJ40" i="55" s="1"/>
  <c r="K28" i="55"/>
  <c r="M28" i="55" s="1"/>
  <c r="X28" i="55" s="1"/>
  <c r="AN28" i="55" s="1"/>
  <c r="K24" i="55"/>
  <c r="M24" i="55" s="1"/>
  <c r="X24" i="55" s="1"/>
  <c r="AO24" i="55" s="1"/>
  <c r="K13" i="55"/>
  <c r="M13" i="55" s="1"/>
  <c r="X13" i="55" s="1"/>
  <c r="AL13" i="55" s="1"/>
  <c r="L51" i="55"/>
  <c r="Y51" i="55" s="1"/>
  <c r="AJ51" i="55" s="1"/>
  <c r="L45" i="55"/>
  <c r="Y45" i="55" s="1"/>
  <c r="AJ45" i="55" s="1"/>
  <c r="L42" i="55"/>
  <c r="Y42" i="55" s="1"/>
  <c r="AJ42" i="55" s="1"/>
  <c r="L48" i="55"/>
  <c r="Y48" i="55" s="1"/>
  <c r="AJ48" i="55" s="1"/>
  <c r="K34" i="55"/>
  <c r="M34" i="55" s="1"/>
  <c r="X34" i="55" s="1"/>
  <c r="AL34" i="55" s="1"/>
  <c r="L27" i="55"/>
  <c r="Y27" i="55" s="1"/>
  <c r="AJ27" i="55" s="1"/>
  <c r="L29" i="55"/>
  <c r="Y29" i="55" s="1"/>
  <c r="AJ29" i="55" s="1"/>
  <c r="L53" i="55"/>
  <c r="Y53" i="55" s="1"/>
  <c r="AJ53" i="55" s="1"/>
  <c r="L52" i="55"/>
  <c r="Y52" i="55" s="1"/>
  <c r="AJ52" i="55" s="1"/>
  <c r="K47" i="55"/>
  <c r="M47" i="55" s="1"/>
  <c r="X47" i="55" s="1"/>
  <c r="AM47" i="55" s="1"/>
  <c r="L12" i="55"/>
  <c r="Y12" i="55" s="1"/>
  <c r="AJ12" i="55" s="1"/>
  <c r="K53" i="55"/>
  <c r="M53" i="55" s="1"/>
  <c r="X53" i="55" s="1"/>
  <c r="AK53" i="55" s="1"/>
  <c r="L6" i="55"/>
  <c r="Y6" i="55" s="1"/>
  <c r="AJ6" i="55" s="1"/>
  <c r="K15" i="55"/>
  <c r="M15" i="55" s="1"/>
  <c r="X15" i="55" s="1"/>
  <c r="AP15" i="55" s="1"/>
  <c r="K54" i="55"/>
  <c r="M54" i="55" s="1"/>
  <c r="X54" i="55" s="1"/>
  <c r="AM54" i="55" s="1"/>
  <c r="K22" i="55"/>
  <c r="M22" i="55" s="1"/>
  <c r="X22" i="55" s="1"/>
  <c r="AO22" i="55" s="1"/>
  <c r="K41" i="55"/>
  <c r="M41" i="55" s="1"/>
  <c r="X41" i="55" s="1"/>
  <c r="AK41" i="55" s="1"/>
  <c r="AL81" i="55"/>
  <c r="AK81" i="55"/>
  <c r="AP81" i="55"/>
  <c r="AM81" i="55"/>
  <c r="AO81" i="55"/>
  <c r="AN81" i="55"/>
  <c r="AK72" i="55"/>
  <c r="AP72" i="55"/>
  <c r="AO72" i="55"/>
  <c r="AN72" i="55"/>
  <c r="AL72" i="55"/>
  <c r="AM72" i="55"/>
  <c r="AK60" i="55"/>
  <c r="AO60" i="55"/>
  <c r="AP60" i="55"/>
  <c r="AL60" i="55"/>
  <c r="AN60" i="55"/>
  <c r="AM60" i="55"/>
  <c r="AS96" i="55" l="1"/>
  <c r="AR96" i="55"/>
  <c r="AQ96" i="55"/>
  <c r="AT96" i="55"/>
  <c r="AU96" i="55"/>
  <c r="AS84" i="55"/>
  <c r="AU84" i="55"/>
  <c r="AK76" i="55"/>
  <c r="AO76" i="55"/>
  <c r="AT69" i="55"/>
  <c r="AT84" i="55"/>
  <c r="AM76" i="55"/>
  <c r="AV69" i="55"/>
  <c r="AV84" i="55"/>
  <c r="AN76" i="55"/>
  <c r="AP76" i="55"/>
  <c r="AR84" i="55"/>
  <c r="AU69" i="55"/>
  <c r="AL80" i="55"/>
  <c r="AM80" i="55"/>
  <c r="AK80" i="55"/>
  <c r="AO80" i="55"/>
  <c r="AP80" i="55"/>
  <c r="AQ47" i="55"/>
  <c r="AT47" i="55"/>
  <c r="AU47" i="55"/>
  <c r="AR47" i="55"/>
  <c r="AV47" i="55"/>
  <c r="AS107" i="55"/>
  <c r="AT107" i="55"/>
  <c r="AV107" i="55"/>
  <c r="AR107" i="55"/>
  <c r="AU107" i="55"/>
  <c r="AK85" i="55"/>
  <c r="AM85" i="55"/>
  <c r="AL85" i="55"/>
  <c r="AO85" i="55"/>
  <c r="AP85" i="55"/>
  <c r="AP77" i="55"/>
  <c r="AP62" i="55"/>
  <c r="AN62" i="55"/>
  <c r="AM62" i="55"/>
  <c r="AO62" i="55"/>
  <c r="AL62" i="55"/>
  <c r="AL98" i="55"/>
  <c r="AK98" i="55"/>
  <c r="AM98" i="55"/>
  <c r="AN98" i="55"/>
  <c r="AP98" i="55"/>
  <c r="AK59" i="55"/>
  <c r="AM59" i="55"/>
  <c r="AO59" i="55"/>
  <c r="AP59" i="55"/>
  <c r="AN59" i="55"/>
  <c r="AS80" i="55"/>
  <c r="AM77" i="55"/>
  <c r="AK77" i="55"/>
  <c r="AN77" i="55"/>
  <c r="AN83" i="55"/>
  <c r="AL77" i="55"/>
  <c r="AO93" i="55"/>
  <c r="AL93" i="55"/>
  <c r="AN93" i="55"/>
  <c r="AU80" i="55"/>
  <c r="AT80" i="55"/>
  <c r="AQ80" i="55"/>
  <c r="AM79" i="55"/>
  <c r="AM58" i="55"/>
  <c r="AP58" i="55"/>
  <c r="AK58" i="55"/>
  <c r="AN58" i="55"/>
  <c r="AL58" i="55"/>
  <c r="AV67" i="55"/>
  <c r="AV80" i="55"/>
  <c r="AK93" i="55"/>
  <c r="AN91" i="55"/>
  <c r="AO91" i="55"/>
  <c r="AP91" i="55"/>
  <c r="AQ67" i="55"/>
  <c r="AU67" i="55"/>
  <c r="AR67" i="55"/>
  <c r="AS67" i="55"/>
  <c r="AK67" i="55"/>
  <c r="AP93" i="55"/>
  <c r="AN67" i="55"/>
  <c r="AM67" i="55"/>
  <c r="AO67" i="55"/>
  <c r="AP67" i="55"/>
  <c r="AR59" i="55"/>
  <c r="AT59" i="55"/>
  <c r="AU59" i="55"/>
  <c r="AS59" i="55"/>
  <c r="AV59" i="55"/>
  <c r="AS102" i="55"/>
  <c r="AU102" i="55"/>
  <c r="AR102" i="55"/>
  <c r="AT97" i="55"/>
  <c r="AU97" i="55"/>
  <c r="AQ97" i="55"/>
  <c r="AR97" i="55"/>
  <c r="AV97" i="55"/>
  <c r="AT108" i="55"/>
  <c r="AV108" i="55"/>
  <c r="AS108" i="55"/>
  <c r="AR108" i="55"/>
  <c r="AQ108" i="55"/>
  <c r="AV112" i="55"/>
  <c r="AO79" i="55"/>
  <c r="AS112" i="55"/>
  <c r="AN79" i="55"/>
  <c r="AP79" i="55"/>
  <c r="AK79" i="55"/>
  <c r="AR112" i="55"/>
  <c r="AK91" i="55"/>
  <c r="AQ102" i="55"/>
  <c r="AT102" i="55"/>
  <c r="AT112" i="55"/>
  <c r="AU112" i="55"/>
  <c r="AL91" i="55"/>
  <c r="AR91" i="55"/>
  <c r="AT91" i="55"/>
  <c r="AK83" i="55"/>
  <c r="AO83" i="55"/>
  <c r="AP83" i="55"/>
  <c r="AM83" i="55"/>
  <c r="AK61" i="55"/>
  <c r="AM61" i="55"/>
  <c r="AP61" i="55"/>
  <c r="AO61" i="55"/>
  <c r="AL61" i="55"/>
  <c r="AU91" i="55"/>
  <c r="AQ91" i="55"/>
  <c r="AV91" i="55"/>
  <c r="AM70" i="55"/>
  <c r="AL68" i="55"/>
  <c r="AT61" i="55"/>
  <c r="AR61" i="55"/>
  <c r="AM68" i="55"/>
  <c r="AQ61" i="55"/>
  <c r="AV61" i="55"/>
  <c r="AK68" i="55"/>
  <c r="AU61" i="55"/>
  <c r="AO70" i="55"/>
  <c r="AN70" i="55"/>
  <c r="AL70" i="55"/>
  <c r="AK70" i="55"/>
  <c r="AM78" i="55"/>
  <c r="AL78" i="55"/>
  <c r="AK78" i="55"/>
  <c r="AN78" i="55"/>
  <c r="AO84" i="55"/>
  <c r="AO78" i="55"/>
  <c r="AS63" i="55"/>
  <c r="AV63" i="55"/>
  <c r="AR63" i="55"/>
  <c r="AQ63" i="55"/>
  <c r="AO90" i="55"/>
  <c r="AP68" i="55"/>
  <c r="AN68" i="55"/>
  <c r="AL90" i="55"/>
  <c r="AN90" i="55"/>
  <c r="AR92" i="55"/>
  <c r="AU63" i="55"/>
  <c r="AV106" i="55"/>
  <c r="AU106" i="55"/>
  <c r="AL65" i="55"/>
  <c r="AO87" i="55"/>
  <c r="AK65" i="55"/>
  <c r="AU92" i="55"/>
  <c r="AO65" i="55"/>
  <c r="AM87" i="55"/>
  <c r="AL87" i="55"/>
  <c r="AN65" i="55"/>
  <c r="AK87" i="55"/>
  <c r="AQ92" i="55"/>
  <c r="AP87" i="55"/>
  <c r="AS92" i="55"/>
  <c r="AT92" i="55"/>
  <c r="AP65" i="55"/>
  <c r="AP90" i="55"/>
  <c r="AS106" i="55"/>
  <c r="AP108" i="55"/>
  <c r="AO102" i="55"/>
  <c r="AK102" i="55"/>
  <c r="AO108" i="55"/>
  <c r="AP102" i="55"/>
  <c r="AV83" i="55"/>
  <c r="AR83" i="55"/>
  <c r="AL108" i="55"/>
  <c r="AN108" i="55"/>
  <c r="AR106" i="55"/>
  <c r="AL102" i="55"/>
  <c r="AM102" i="55"/>
  <c r="AT83" i="55"/>
  <c r="AT106" i="55"/>
  <c r="AQ83" i="55"/>
  <c r="AU83" i="55"/>
  <c r="AK92" i="55"/>
  <c r="AP92" i="55"/>
  <c r="AL92" i="55"/>
  <c r="AO92" i="55"/>
  <c r="AN92" i="55"/>
  <c r="AV62" i="55"/>
  <c r="AP69" i="55"/>
  <c r="AN69" i="55"/>
  <c r="AK69" i="55"/>
  <c r="AM69" i="55"/>
  <c r="AO69" i="55"/>
  <c r="AO110" i="55"/>
  <c r="AK90" i="55"/>
  <c r="AT109" i="55"/>
  <c r="AK110" i="55"/>
  <c r="AL110" i="55"/>
  <c r="AP110" i="55"/>
  <c r="AM110" i="55"/>
  <c r="AS62" i="55"/>
  <c r="AQ62" i="55"/>
  <c r="AU62" i="55"/>
  <c r="AR62" i="55"/>
  <c r="AT66" i="55"/>
  <c r="AS66" i="55"/>
  <c r="AV66" i="55"/>
  <c r="AQ66" i="55"/>
  <c r="AU66" i="55"/>
  <c r="AL84" i="55"/>
  <c r="AP84" i="55"/>
  <c r="AN84" i="55"/>
  <c r="AK84" i="55"/>
  <c r="AK108" i="55"/>
  <c r="AK101" i="55"/>
  <c r="AP101" i="55"/>
  <c r="AM101" i="55"/>
  <c r="AO86" i="55"/>
  <c r="AP86" i="55"/>
  <c r="AN101" i="55"/>
  <c r="AU109" i="55"/>
  <c r="AS109" i="55"/>
  <c r="AQ109" i="55"/>
  <c r="AR109" i="55"/>
  <c r="AO101" i="55"/>
  <c r="AQ70" i="55"/>
  <c r="AK86" i="55"/>
  <c r="AM86" i="55"/>
  <c r="AM64" i="55"/>
  <c r="AO64" i="55"/>
  <c r="AN64" i="55"/>
  <c r="AK64" i="55"/>
  <c r="AP64" i="55"/>
  <c r="AK99" i="55"/>
  <c r="AN99" i="55"/>
  <c r="AL99" i="55"/>
  <c r="AO99" i="55"/>
  <c r="AP99" i="55"/>
  <c r="AQ99" i="55"/>
  <c r="AN106" i="55"/>
  <c r="AP106" i="55"/>
  <c r="AN96" i="55"/>
  <c r="AK106" i="55"/>
  <c r="AM96" i="55"/>
  <c r="AO96" i="55"/>
  <c r="AT99" i="55"/>
  <c r="AV70" i="55"/>
  <c r="AL86" i="55"/>
  <c r="AS99" i="55"/>
  <c r="AU74" i="55"/>
  <c r="AS74" i="55"/>
  <c r="AV58" i="55"/>
  <c r="AR99" i="55"/>
  <c r="AV99" i="55"/>
  <c r="AR81" i="55"/>
  <c r="AU58" i="55"/>
  <c r="AT74" i="55"/>
  <c r="AR74" i="55"/>
  <c r="AS87" i="55"/>
  <c r="AS58" i="55"/>
  <c r="AQ58" i="55"/>
  <c r="AT58" i="55"/>
  <c r="AQ101" i="55"/>
  <c r="AR87" i="55"/>
  <c r="AQ87" i="55"/>
  <c r="AT87" i="55"/>
  <c r="AV87" i="55"/>
  <c r="AQ74" i="55"/>
  <c r="AU70" i="55"/>
  <c r="AT103" i="55"/>
  <c r="AR103" i="55"/>
  <c r="AU103" i="55"/>
  <c r="AR70" i="55"/>
  <c r="AQ103" i="55"/>
  <c r="AV103" i="55"/>
  <c r="AO88" i="55"/>
  <c r="AN88" i="55"/>
  <c r="AP88" i="55"/>
  <c r="AM88" i="55"/>
  <c r="AL88" i="55"/>
  <c r="AR110" i="55"/>
  <c r="AN107" i="55"/>
  <c r="AK111" i="55"/>
  <c r="AL111" i="55"/>
  <c r="AN111" i="55"/>
  <c r="AP96" i="55"/>
  <c r="AK96" i="55"/>
  <c r="AL106" i="55"/>
  <c r="AM106" i="55"/>
  <c r="AM111" i="55"/>
  <c r="AO111" i="55"/>
  <c r="AQ88" i="55"/>
  <c r="AS70" i="55"/>
  <c r="AU82" i="55"/>
  <c r="AR82" i="55"/>
  <c r="AO103" i="55"/>
  <c r="AV82" i="55"/>
  <c r="AQ82" i="55"/>
  <c r="AM82" i="55"/>
  <c r="AO82" i="55"/>
  <c r="AO66" i="55"/>
  <c r="AP66" i="55"/>
  <c r="AM66" i="55"/>
  <c r="AN82" i="55"/>
  <c r="AL66" i="55"/>
  <c r="AK82" i="55"/>
  <c r="AK66" i="55"/>
  <c r="AU81" i="55"/>
  <c r="AV88" i="55"/>
  <c r="AS88" i="55"/>
  <c r="AR88" i="55"/>
  <c r="AU88" i="55"/>
  <c r="AK107" i="55"/>
  <c r="AR89" i="55"/>
  <c r="AS89" i="55"/>
  <c r="AS82" i="55"/>
  <c r="AT89" i="55"/>
  <c r="AV89" i="55"/>
  <c r="AQ89" i="55"/>
  <c r="AP103" i="55"/>
  <c r="AN103" i="55"/>
  <c r="AM103" i="55"/>
  <c r="AK103" i="55"/>
  <c r="AQ90" i="55"/>
  <c r="AU98" i="55"/>
  <c r="AR98" i="55"/>
  <c r="AL82" i="55"/>
  <c r="AT81" i="55"/>
  <c r="AO107" i="55"/>
  <c r="AM107" i="55"/>
  <c r="AQ110" i="55"/>
  <c r="AP107" i="55"/>
  <c r="AQ81" i="55"/>
  <c r="AV81" i="55"/>
  <c r="AU71" i="55"/>
  <c r="AS90" i="55"/>
  <c r="AR90" i="55"/>
  <c r="AV90" i="55"/>
  <c r="AT90" i="55"/>
  <c r="AR71" i="55"/>
  <c r="AS105" i="55"/>
  <c r="AQ105" i="55"/>
  <c r="AQ77" i="55"/>
  <c r="AV105" i="55"/>
  <c r="AK100" i="55"/>
  <c r="AS77" i="55"/>
  <c r="AN74" i="55"/>
  <c r="AU105" i="55"/>
  <c r="AR105" i="55"/>
  <c r="AT77" i="55"/>
  <c r="AP75" i="55"/>
  <c r="AO75" i="55"/>
  <c r="AN75" i="55"/>
  <c r="AM75" i="55"/>
  <c r="AK75" i="55"/>
  <c r="AU110" i="55"/>
  <c r="AS65" i="55"/>
  <c r="AR77" i="55"/>
  <c r="AN100" i="55"/>
  <c r="AO100" i="55"/>
  <c r="AV77" i="55"/>
  <c r="AV98" i="55"/>
  <c r="AU65" i="55"/>
  <c r="AT65" i="55"/>
  <c r="AQ71" i="55"/>
  <c r="AM71" i="55"/>
  <c r="AV78" i="55"/>
  <c r="AR78" i="55"/>
  <c r="AQ78" i="55"/>
  <c r="AU78" i="55"/>
  <c r="AV64" i="55"/>
  <c r="AS98" i="55"/>
  <c r="AT78" i="55"/>
  <c r="AV110" i="55"/>
  <c r="AS110" i="55"/>
  <c r="AV71" i="55"/>
  <c r="AK89" i="55"/>
  <c r="AM89" i="55"/>
  <c r="AT64" i="55"/>
  <c r="AQ98" i="55"/>
  <c r="AP89" i="55"/>
  <c r="AN89" i="55"/>
  <c r="AQ65" i="55"/>
  <c r="AV65" i="55"/>
  <c r="AT71" i="55"/>
  <c r="AQ95" i="55"/>
  <c r="AU95" i="55"/>
  <c r="AM73" i="55"/>
  <c r="AO73" i="55"/>
  <c r="AS95" i="55"/>
  <c r="AV95" i="55"/>
  <c r="AN73" i="55"/>
  <c r="AP73" i="55"/>
  <c r="AQ64" i="55"/>
  <c r="AL73" i="55"/>
  <c r="AL89" i="55"/>
  <c r="AS64" i="55"/>
  <c r="AR95" i="55"/>
  <c r="AR64" i="55"/>
  <c r="AM63" i="55"/>
  <c r="AO63" i="55"/>
  <c r="AN63" i="55"/>
  <c r="AL63" i="55"/>
  <c r="AK63" i="55"/>
  <c r="AU104" i="55"/>
  <c r="AL94" i="55"/>
  <c r="AS76" i="55"/>
  <c r="AN104" i="55"/>
  <c r="AT76" i="55"/>
  <c r="AP71" i="55"/>
  <c r="AK94" i="55"/>
  <c r="AL100" i="55"/>
  <c r="AM94" i="55"/>
  <c r="AR76" i="55"/>
  <c r="AN71" i="55"/>
  <c r="AM74" i="55"/>
  <c r="AL71" i="55"/>
  <c r="AO74" i="55"/>
  <c r="AQ76" i="55"/>
  <c r="AN94" i="55"/>
  <c r="AO94" i="55"/>
  <c r="AO71" i="55"/>
  <c r="AK74" i="55"/>
  <c r="AP100" i="55"/>
  <c r="AL74" i="55"/>
  <c r="AU76" i="55"/>
  <c r="AK104" i="55"/>
  <c r="AO104" i="55"/>
  <c r="AP104" i="55"/>
  <c r="AM104" i="55"/>
  <c r="AS60" i="55"/>
  <c r="AT60" i="55"/>
  <c r="AS101" i="55"/>
  <c r="AQ104" i="55"/>
  <c r="AT75" i="55"/>
  <c r="AR104" i="55"/>
  <c r="AS104" i="55"/>
  <c r="AT104" i="55"/>
  <c r="AQ60" i="55"/>
  <c r="AR60" i="55"/>
  <c r="AR75" i="55"/>
  <c r="AS75" i="55"/>
  <c r="AU75" i="55"/>
  <c r="AQ75" i="55"/>
  <c r="AP95" i="55"/>
  <c r="AV101" i="55"/>
  <c r="AU101" i="55"/>
  <c r="AT101" i="55"/>
  <c r="AV60" i="55"/>
  <c r="AL95" i="55"/>
  <c r="AO95" i="55"/>
  <c r="AM95" i="55"/>
  <c r="AN95" i="55"/>
  <c r="AX93" i="55"/>
  <c r="F93" i="55" s="1"/>
  <c r="AX96" i="55"/>
  <c r="F96" i="55" s="1"/>
  <c r="AX100" i="55"/>
  <c r="F100" i="55" s="1"/>
  <c r="AW109" i="55"/>
  <c r="D109" i="55" s="1"/>
  <c r="AW97" i="55"/>
  <c r="D97" i="55" s="1"/>
  <c r="AW112" i="55"/>
  <c r="D112" i="55" s="1"/>
  <c r="AW105" i="55"/>
  <c r="D105" i="55" s="1"/>
  <c r="AP32" i="55"/>
  <c r="AL32" i="55"/>
  <c r="AQ79" i="55"/>
  <c r="AU79" i="55"/>
  <c r="AT79" i="55"/>
  <c r="AR79" i="55"/>
  <c r="AV79" i="55"/>
  <c r="AX68" i="55"/>
  <c r="F68" i="55" s="1"/>
  <c r="AX72" i="55"/>
  <c r="F72" i="55" s="1"/>
  <c r="AX73" i="55"/>
  <c r="F73" i="55" s="1"/>
  <c r="AX86" i="55"/>
  <c r="F86" i="55" s="1"/>
  <c r="AX85" i="55"/>
  <c r="F85" i="55" s="1"/>
  <c r="AS94" i="55"/>
  <c r="AR94" i="55"/>
  <c r="AQ94" i="55"/>
  <c r="AT94" i="55"/>
  <c r="AU94" i="55"/>
  <c r="AV94" i="55"/>
  <c r="AR111" i="55"/>
  <c r="AU111" i="55"/>
  <c r="AT111" i="55"/>
  <c r="AQ111" i="55"/>
  <c r="AV111" i="55"/>
  <c r="AS111" i="55"/>
  <c r="AM32" i="55"/>
  <c r="AN32" i="55"/>
  <c r="AO32" i="55"/>
  <c r="AM5" i="55"/>
  <c r="AN5" i="55"/>
  <c r="AP5" i="55"/>
  <c r="AK5" i="55"/>
  <c r="AO5" i="55"/>
  <c r="AK9" i="55"/>
  <c r="AN9" i="55"/>
  <c r="AL9" i="55"/>
  <c r="AP9" i="55"/>
  <c r="AO9" i="55"/>
  <c r="AM20" i="55"/>
  <c r="AO20" i="55"/>
  <c r="AL20" i="55"/>
  <c r="AK20" i="55"/>
  <c r="AN20" i="55"/>
  <c r="AV11" i="55"/>
  <c r="AR11" i="55"/>
  <c r="AU11" i="55"/>
  <c r="AQ11" i="55"/>
  <c r="AT11" i="55"/>
  <c r="AR46" i="55"/>
  <c r="AV46" i="55"/>
  <c r="AQ46" i="55"/>
  <c r="AT46" i="55"/>
  <c r="AU46" i="55"/>
  <c r="AV18" i="55"/>
  <c r="AU18" i="55"/>
  <c r="AT18" i="55"/>
  <c r="AR18" i="55"/>
  <c r="AS18" i="55"/>
  <c r="AM46" i="55"/>
  <c r="AP46" i="55"/>
  <c r="AO46" i="55"/>
  <c r="AQ33" i="55"/>
  <c r="AV33" i="55"/>
  <c r="AK46" i="55"/>
  <c r="AL46" i="55"/>
  <c r="AU13" i="55"/>
  <c r="AV13" i="55"/>
  <c r="AL18" i="55"/>
  <c r="AQ13" i="55"/>
  <c r="AM38" i="55"/>
  <c r="AL38" i="55"/>
  <c r="AN38" i="55"/>
  <c r="AP38" i="55"/>
  <c r="AU33" i="55"/>
  <c r="AT33" i="55"/>
  <c r="AK38" i="55"/>
  <c r="AS33" i="55"/>
  <c r="AS13" i="55"/>
  <c r="AN18" i="55"/>
  <c r="AK18" i="55"/>
  <c r="AM18" i="55"/>
  <c r="AP18" i="55"/>
  <c r="AT13" i="55"/>
  <c r="AV3" i="55"/>
  <c r="AR55" i="55"/>
  <c r="AV7" i="55"/>
  <c r="AS3" i="55"/>
  <c r="AO55" i="55"/>
  <c r="AL55" i="55"/>
  <c r="AK21" i="55"/>
  <c r="AN21" i="55"/>
  <c r="AR7" i="55"/>
  <c r="AS7" i="55"/>
  <c r="AU3" i="55"/>
  <c r="AQ3" i="55"/>
  <c r="AQ7" i="55"/>
  <c r="AS44" i="55"/>
  <c r="AR44" i="55"/>
  <c r="AT3" i="55"/>
  <c r="AT7" i="55"/>
  <c r="AQ44" i="55"/>
  <c r="AU44" i="55"/>
  <c r="AQ55" i="55"/>
  <c r="AS55" i="55"/>
  <c r="AT55" i="55"/>
  <c r="AV44" i="55"/>
  <c r="AV55" i="55"/>
  <c r="AL3" i="55"/>
  <c r="AM42" i="55"/>
  <c r="AP3" i="55"/>
  <c r="AN42" i="55"/>
  <c r="AM3" i="55"/>
  <c r="AO42" i="55"/>
  <c r="AM26" i="55"/>
  <c r="AL26" i="55"/>
  <c r="AO3" i="55"/>
  <c r="AM21" i="55"/>
  <c r="AP42" i="55"/>
  <c r="AR39" i="55"/>
  <c r="AV39" i="55"/>
  <c r="AP55" i="55"/>
  <c r="AK26" i="55"/>
  <c r="AN3" i="55"/>
  <c r="AL42" i="55"/>
  <c r="AL21" i="55"/>
  <c r="AK55" i="55"/>
  <c r="AO26" i="55"/>
  <c r="AL43" i="55"/>
  <c r="AN55" i="55"/>
  <c r="AN26" i="55"/>
  <c r="AP21" i="55"/>
  <c r="AT9" i="55"/>
  <c r="AQ9" i="55"/>
  <c r="AM11" i="55"/>
  <c r="AV9" i="55"/>
  <c r="AS9" i="55"/>
  <c r="AR9" i="55"/>
  <c r="AU39" i="55"/>
  <c r="AS39" i="55"/>
  <c r="AS38" i="55"/>
  <c r="AT39" i="55"/>
  <c r="AP43" i="55"/>
  <c r="AM43" i="55"/>
  <c r="AK43" i="55"/>
  <c r="AN43" i="55"/>
  <c r="AS49" i="55"/>
  <c r="AQ49" i="55"/>
  <c r="AR49" i="55"/>
  <c r="AV49" i="55"/>
  <c r="AT49" i="55"/>
  <c r="AT15" i="55"/>
  <c r="AM51" i="55"/>
  <c r="AL23" i="55"/>
  <c r="AK51" i="55"/>
  <c r="AN23" i="55"/>
  <c r="AO23" i="55"/>
  <c r="AL51" i="55"/>
  <c r="AK23" i="55"/>
  <c r="AO37" i="55"/>
  <c r="AX24" i="55"/>
  <c r="F24" i="55" s="1"/>
  <c r="AK12" i="55"/>
  <c r="AP23" i="55"/>
  <c r="AT14" i="55"/>
  <c r="AN51" i="55"/>
  <c r="AN12" i="55"/>
  <c r="AN57" i="55"/>
  <c r="AQ41" i="55"/>
  <c r="AV38" i="55"/>
  <c r="AP48" i="55"/>
  <c r="AO48" i="55"/>
  <c r="AQ38" i="55"/>
  <c r="AK48" i="55"/>
  <c r="AN48" i="55"/>
  <c r="AL48" i="55"/>
  <c r="AK7" i="55"/>
  <c r="AV14" i="55"/>
  <c r="AQ14" i="55"/>
  <c r="AO51" i="55"/>
  <c r="AR14" i="55"/>
  <c r="AU14" i="55"/>
  <c r="AS15" i="55"/>
  <c r="AM7" i="55"/>
  <c r="AN7" i="55"/>
  <c r="AO7" i="55"/>
  <c r="AK30" i="55"/>
  <c r="AM30" i="55"/>
  <c r="AT41" i="55"/>
  <c r="AX23" i="55"/>
  <c r="AZ23" i="55" s="1"/>
  <c r="AV41" i="55"/>
  <c r="AU41" i="55"/>
  <c r="AO30" i="55"/>
  <c r="AN30" i="55"/>
  <c r="AP30" i="55"/>
  <c r="AS41" i="55"/>
  <c r="AQ54" i="55"/>
  <c r="AP12" i="55"/>
  <c r="AO12" i="55"/>
  <c r="AK22" i="55"/>
  <c r="AM12" i="55"/>
  <c r="AK36" i="55"/>
  <c r="AR15" i="55"/>
  <c r="AQ15" i="55"/>
  <c r="AV15" i="55"/>
  <c r="AL57" i="55"/>
  <c r="AQ30" i="55"/>
  <c r="AP11" i="55"/>
  <c r="AM27" i="55"/>
  <c r="AR30" i="55"/>
  <c r="AO11" i="55"/>
  <c r="AL11" i="55"/>
  <c r="AO57" i="55"/>
  <c r="AK11" i="55"/>
  <c r="AM57" i="55"/>
  <c r="AO10" i="55"/>
  <c r="AT30" i="55"/>
  <c r="AK52" i="55"/>
  <c r="AK16" i="55"/>
  <c r="AO16" i="55"/>
  <c r="AN37" i="55"/>
  <c r="AM16" i="55"/>
  <c r="AK37" i="55"/>
  <c r="AP16" i="55"/>
  <c r="AL37" i="55"/>
  <c r="AN16" i="55"/>
  <c r="AT54" i="55"/>
  <c r="AP37" i="55"/>
  <c r="AM8" i="55"/>
  <c r="AL35" i="55"/>
  <c r="AT38" i="55"/>
  <c r="AU38" i="55"/>
  <c r="AP35" i="55"/>
  <c r="AN15" i="55"/>
  <c r="AO44" i="55"/>
  <c r="AL8" i="55"/>
  <c r="AO35" i="55"/>
  <c r="AP8" i="55"/>
  <c r="AK35" i="55"/>
  <c r="AN8" i="55"/>
  <c r="AN35" i="55"/>
  <c r="AO8" i="55"/>
  <c r="AR54" i="55"/>
  <c r="AU54" i="55"/>
  <c r="AM19" i="55"/>
  <c r="AU30" i="55"/>
  <c r="AV54" i="55"/>
  <c r="AL52" i="55"/>
  <c r="AT25" i="55"/>
  <c r="AV25" i="55"/>
  <c r="AS25" i="55"/>
  <c r="AN6" i="55"/>
  <c r="AM6" i="55"/>
  <c r="AR31" i="55"/>
  <c r="AV31" i="55"/>
  <c r="AS31" i="55"/>
  <c r="AU31" i="55"/>
  <c r="AT31" i="55"/>
  <c r="AQ31" i="55"/>
  <c r="AM52" i="55"/>
  <c r="AL6" i="55"/>
  <c r="AR20" i="55"/>
  <c r="AQ20" i="55"/>
  <c r="AT20" i="55"/>
  <c r="AV20" i="55"/>
  <c r="AU20" i="55"/>
  <c r="AS20" i="55"/>
  <c r="AO52" i="55"/>
  <c r="AK6" i="55"/>
  <c r="AV30" i="55"/>
  <c r="AR25" i="55"/>
  <c r="AP52" i="55"/>
  <c r="AP6" i="55"/>
  <c r="AU25" i="55"/>
  <c r="AR10" i="55"/>
  <c r="AV10" i="55"/>
  <c r="AU10" i="55"/>
  <c r="AS10" i="55"/>
  <c r="AQ10" i="55"/>
  <c r="AT10" i="55"/>
  <c r="AX28" i="55"/>
  <c r="AZ28" i="55" s="1"/>
  <c r="AL28" i="55"/>
  <c r="AK31" i="55"/>
  <c r="AK14" i="55"/>
  <c r="AL56" i="55"/>
  <c r="AP56" i="55"/>
  <c r="AO45" i="55"/>
  <c r="AL45" i="55"/>
  <c r="AL49" i="55"/>
  <c r="AN24" i="55"/>
  <c r="AO56" i="55"/>
  <c r="AM45" i="55"/>
  <c r="AL44" i="55"/>
  <c r="AP31" i="55"/>
  <c r="AN17" i="55"/>
  <c r="AO15" i="55"/>
  <c r="AM14" i="55"/>
  <c r="AL19" i="55"/>
  <c r="AN44" i="55"/>
  <c r="AL31" i="55"/>
  <c r="AM17" i="55"/>
  <c r="AM15" i="55"/>
  <c r="AN14" i="55"/>
  <c r="AP19" i="55"/>
  <c r="AM56" i="55"/>
  <c r="AO28" i="55"/>
  <c r="AK28" i="55"/>
  <c r="AM44" i="55"/>
  <c r="AM31" i="55"/>
  <c r="AP17" i="55"/>
  <c r="AL15" i="55"/>
  <c r="AP14" i="55"/>
  <c r="AN56" i="55"/>
  <c r="AP45" i="55"/>
  <c r="AM28" i="55"/>
  <c r="AK44" i="55"/>
  <c r="AO31" i="55"/>
  <c r="AL17" i="55"/>
  <c r="AK15" i="55"/>
  <c r="AO14" i="55"/>
  <c r="AK19" i="55"/>
  <c r="AO17" i="55"/>
  <c r="AK45" i="55"/>
  <c r="AP28" i="55"/>
  <c r="AO19" i="55"/>
  <c r="AL50" i="55"/>
  <c r="AO25" i="55"/>
  <c r="AM53" i="55"/>
  <c r="AN25" i="55"/>
  <c r="AM25" i="55"/>
  <c r="AO50" i="55"/>
  <c r="AP53" i="55"/>
  <c r="AL10" i="55"/>
  <c r="AK27" i="55"/>
  <c r="AP25" i="55"/>
  <c r="AN53" i="55"/>
  <c r="AK50" i="55"/>
  <c r="AO53" i="55"/>
  <c r="AN10" i="55"/>
  <c r="AN27" i="55"/>
  <c r="AL25" i="55"/>
  <c r="AP50" i="55"/>
  <c r="AP7" i="55"/>
  <c r="AM50" i="55"/>
  <c r="AL53" i="55"/>
  <c r="AP10" i="55"/>
  <c r="AP27" i="55"/>
  <c r="AK57" i="55"/>
  <c r="AK10" i="55"/>
  <c r="AO27" i="55"/>
  <c r="AO40" i="55"/>
  <c r="AK29" i="55"/>
  <c r="AO29" i="55"/>
  <c r="AK34" i="55"/>
  <c r="AM36" i="55"/>
  <c r="AK54" i="55"/>
  <c r="AN34" i="55"/>
  <c r="AL54" i="55"/>
  <c r="AN29" i="55"/>
  <c r="AL29" i="55"/>
  <c r="AP34" i="55"/>
  <c r="AO54" i="55"/>
  <c r="AM29" i="55"/>
  <c r="AM34" i="55"/>
  <c r="AL36" i="55"/>
  <c r="AP54" i="55"/>
  <c r="AO34" i="55"/>
  <c r="AO36" i="55"/>
  <c r="AN54" i="55"/>
  <c r="AN36" i="55"/>
  <c r="AL22" i="55"/>
  <c r="AO4" i="55"/>
  <c r="AN4" i="55"/>
  <c r="AN22" i="55"/>
  <c r="AP4" i="55"/>
  <c r="AM22" i="55"/>
  <c r="AM4" i="55"/>
  <c r="AP22" i="55"/>
  <c r="AL4" i="55"/>
  <c r="AK13" i="55"/>
  <c r="AM40" i="55"/>
  <c r="AK47" i="55"/>
  <c r="AN13" i="55"/>
  <c r="AP40" i="55"/>
  <c r="AN47" i="55"/>
  <c r="AO13" i="55"/>
  <c r="AL40" i="55"/>
  <c r="AP47" i="55"/>
  <c r="AP13" i="55"/>
  <c r="AK40" i="55"/>
  <c r="AL47" i="55"/>
  <c r="AM13" i="55"/>
  <c r="AO47" i="55"/>
  <c r="AK33" i="55"/>
  <c r="AM41" i="55"/>
  <c r="AT53" i="55"/>
  <c r="AS53" i="55"/>
  <c r="AR53" i="55"/>
  <c r="AV53" i="55"/>
  <c r="AQ53" i="55"/>
  <c r="AU53" i="55"/>
  <c r="AV35" i="55"/>
  <c r="AU35" i="55"/>
  <c r="AT35" i="55"/>
  <c r="AR35" i="55"/>
  <c r="AQ35" i="55"/>
  <c r="AS35" i="55"/>
  <c r="AT5" i="55"/>
  <c r="AS5" i="55"/>
  <c r="AR5" i="55"/>
  <c r="AV5" i="55"/>
  <c r="AU5" i="55"/>
  <c r="AQ5" i="55"/>
  <c r="AR37" i="55"/>
  <c r="AS37" i="55"/>
  <c r="AT37" i="55"/>
  <c r="AU37" i="55"/>
  <c r="AV37" i="55"/>
  <c r="AQ37" i="55"/>
  <c r="AR21" i="55"/>
  <c r="AQ21" i="55"/>
  <c r="AT21" i="55"/>
  <c r="AV21" i="55"/>
  <c r="AU21" i="55"/>
  <c r="AS21" i="55"/>
  <c r="AU32" i="55"/>
  <c r="AQ32" i="55"/>
  <c r="AS32" i="55"/>
  <c r="AR32" i="55"/>
  <c r="AT32" i="55"/>
  <c r="AV32" i="55"/>
  <c r="AO33" i="55"/>
  <c r="AP41" i="55"/>
  <c r="AV29" i="55"/>
  <c r="AU29" i="55"/>
  <c r="AS29" i="55"/>
  <c r="AR29" i="55"/>
  <c r="AQ29" i="55"/>
  <c r="AT29" i="55"/>
  <c r="AU16" i="55"/>
  <c r="AS16" i="55"/>
  <c r="AQ16" i="55"/>
  <c r="AT16" i="55"/>
  <c r="AV16" i="55"/>
  <c r="AR16" i="55"/>
  <c r="AQ36" i="55"/>
  <c r="AS36" i="55"/>
  <c r="AV36" i="55"/>
  <c r="AT36" i="55"/>
  <c r="AR36" i="55"/>
  <c r="AU36" i="55"/>
  <c r="AL39" i="55"/>
  <c r="AN39" i="55"/>
  <c r="AK39" i="55"/>
  <c r="AO39" i="55"/>
  <c r="AM39" i="55"/>
  <c r="AP39" i="55"/>
  <c r="AL24" i="55"/>
  <c r="AM33" i="55"/>
  <c r="AL41" i="55"/>
  <c r="AO49" i="55"/>
  <c r="AQ27" i="55"/>
  <c r="AR27" i="55"/>
  <c r="AS27" i="55"/>
  <c r="AU27" i="55"/>
  <c r="AT27" i="55"/>
  <c r="AV27" i="55"/>
  <c r="AV48" i="55"/>
  <c r="AU48" i="55"/>
  <c r="AS48" i="55"/>
  <c r="AR48" i="55"/>
  <c r="AQ48" i="55"/>
  <c r="AT48" i="55"/>
  <c r="AV22" i="55"/>
  <c r="AR22" i="55"/>
  <c r="AS22" i="55"/>
  <c r="AT22" i="55"/>
  <c r="AQ22" i="55"/>
  <c r="AU22" i="55"/>
  <c r="AR34" i="55"/>
  <c r="AT34" i="55"/>
  <c r="AS34" i="55"/>
  <c r="AQ34" i="55"/>
  <c r="AU34" i="55"/>
  <c r="AV34" i="55"/>
  <c r="AM24" i="55"/>
  <c r="AP33" i="55"/>
  <c r="AN41" i="55"/>
  <c r="AK49" i="55"/>
  <c r="AT6" i="55"/>
  <c r="AR6" i="55"/>
  <c r="AV6" i="55"/>
  <c r="AU6" i="55"/>
  <c r="AS6" i="55"/>
  <c r="AQ6" i="55"/>
  <c r="AU42" i="55"/>
  <c r="AQ42" i="55"/>
  <c r="AV42" i="55"/>
  <c r="AT42" i="55"/>
  <c r="AS42" i="55"/>
  <c r="AR42" i="55"/>
  <c r="AV8" i="55"/>
  <c r="AU8" i="55"/>
  <c r="AS8" i="55"/>
  <c r="AT8" i="55"/>
  <c r="AQ8" i="55"/>
  <c r="AR8" i="55"/>
  <c r="AT50" i="55"/>
  <c r="AV50" i="55"/>
  <c r="AQ50" i="55"/>
  <c r="AR50" i="55"/>
  <c r="AS50" i="55"/>
  <c r="AU50" i="55"/>
  <c r="AP24" i="55"/>
  <c r="AN33" i="55"/>
  <c r="AO41" i="55"/>
  <c r="AP49" i="55"/>
  <c r="AS45" i="55"/>
  <c r="AT45" i="55"/>
  <c r="AU45" i="55"/>
  <c r="AR45" i="55"/>
  <c r="AQ45" i="55"/>
  <c r="AV45" i="55"/>
  <c r="AR40" i="55"/>
  <c r="AQ40" i="55"/>
  <c r="AV40" i="55"/>
  <c r="AU40" i="55"/>
  <c r="AT40" i="55"/>
  <c r="AS40" i="55"/>
  <c r="AQ17" i="55"/>
  <c r="AR17" i="55"/>
  <c r="AS17" i="55"/>
  <c r="AV17" i="55"/>
  <c r="AU17" i="55"/>
  <c r="AT17" i="55"/>
  <c r="AU56" i="55"/>
  <c r="AV56" i="55"/>
  <c r="AS56" i="55"/>
  <c r="AR56" i="55"/>
  <c r="AT56" i="55"/>
  <c r="AQ56" i="55"/>
  <c r="AT43" i="55"/>
  <c r="AR43" i="55"/>
  <c r="AS43" i="55"/>
  <c r="AQ43" i="55"/>
  <c r="AU43" i="55"/>
  <c r="AV43" i="55"/>
  <c r="AK24" i="55"/>
  <c r="AN49" i="55"/>
  <c r="AR12" i="55"/>
  <c r="AV12" i="55"/>
  <c r="AT12" i="55"/>
  <c r="AQ12" i="55"/>
  <c r="AU12" i="55"/>
  <c r="AS12" i="55"/>
  <c r="AQ51" i="55"/>
  <c r="AS51" i="55"/>
  <c r="AU51" i="55"/>
  <c r="AT51" i="55"/>
  <c r="AR51" i="55"/>
  <c r="AV51" i="55"/>
  <c r="AS57" i="55"/>
  <c r="AT57" i="55"/>
  <c r="AQ57" i="55"/>
  <c r="AV57" i="55"/>
  <c r="AR57" i="55"/>
  <c r="AU57" i="55"/>
  <c r="AU52" i="55"/>
  <c r="AV52" i="55"/>
  <c r="AS52" i="55"/>
  <c r="AT52" i="55"/>
  <c r="AR52" i="55"/>
  <c r="AQ52" i="55"/>
  <c r="AQ4" i="55"/>
  <c r="AR4" i="55"/>
  <c r="AV4" i="55"/>
  <c r="AS4" i="55"/>
  <c r="AU4" i="55"/>
  <c r="AT4" i="55"/>
  <c r="AR19" i="55"/>
  <c r="AT19" i="55"/>
  <c r="AQ19" i="55"/>
  <c r="AU19" i="55"/>
  <c r="AS19" i="55"/>
  <c r="AV19" i="55"/>
  <c r="AR26" i="55"/>
  <c r="AS26" i="55"/>
  <c r="AU26" i="55"/>
  <c r="AT26" i="55"/>
  <c r="AV26" i="55"/>
  <c r="AQ26" i="55"/>
  <c r="AW81" i="55"/>
  <c r="D81" i="55" s="1"/>
  <c r="BH72" i="55"/>
  <c r="AW72" i="55"/>
  <c r="D72" i="55" s="1"/>
  <c r="BG72" i="55"/>
  <c r="AW60" i="55"/>
  <c r="AW76" i="55" l="1"/>
  <c r="D76" i="55" s="1"/>
  <c r="AX69" i="55"/>
  <c r="F69" i="55" s="1"/>
  <c r="AX84" i="55"/>
  <c r="AZ84" i="55" s="1"/>
  <c r="AW80" i="55"/>
  <c r="D80" i="55" s="1"/>
  <c r="AX47" i="55"/>
  <c r="F47" i="55" s="1"/>
  <c r="AX107" i="55"/>
  <c r="F107" i="55" s="1"/>
  <c r="BH85" i="55"/>
  <c r="AW85" i="55"/>
  <c r="D85" i="55" s="1"/>
  <c r="BF85" i="55" s="1"/>
  <c r="BG85" i="55"/>
  <c r="AW62" i="55"/>
  <c r="AY62" i="55" s="1"/>
  <c r="AW98" i="55"/>
  <c r="D98" i="55" s="1"/>
  <c r="AW59" i="55"/>
  <c r="AY59" i="55" s="1"/>
  <c r="AW77" i="55"/>
  <c r="D77" i="55" s="1"/>
  <c r="BH80" i="55"/>
  <c r="AW58" i="55"/>
  <c r="AY58" i="55" s="1"/>
  <c r="BG80" i="55"/>
  <c r="AX80" i="55"/>
  <c r="F80" i="55" s="1"/>
  <c r="AW93" i="55"/>
  <c r="D93" i="55" s="1"/>
  <c r="BB93" i="55" s="1"/>
  <c r="BH93" i="55"/>
  <c r="BG93" i="55"/>
  <c r="AX67" i="55"/>
  <c r="F67" i="55" s="1"/>
  <c r="AW67" i="55"/>
  <c r="D67" i="55" s="1"/>
  <c r="BH67" i="55"/>
  <c r="BG67" i="55"/>
  <c r="BH59" i="55"/>
  <c r="BG59" i="55"/>
  <c r="AX59" i="55"/>
  <c r="F59" i="55" s="1"/>
  <c r="AX102" i="55"/>
  <c r="F102" i="55" s="1"/>
  <c r="BH97" i="55"/>
  <c r="AX97" i="55"/>
  <c r="F97" i="55" s="1"/>
  <c r="BF97" i="55" s="1"/>
  <c r="BG97" i="55"/>
  <c r="AX108" i="55"/>
  <c r="F108" i="55" s="1"/>
  <c r="AX112" i="55"/>
  <c r="AZ112" i="55" s="1"/>
  <c r="BG112" i="55"/>
  <c r="AW79" i="55"/>
  <c r="D79" i="55" s="1"/>
  <c r="BH112" i="55"/>
  <c r="AW91" i="55"/>
  <c r="D91" i="55" s="1"/>
  <c r="AX91" i="55"/>
  <c r="F91" i="55" s="1"/>
  <c r="AW83" i="55"/>
  <c r="D83" i="55" s="1"/>
  <c r="BG91" i="55"/>
  <c r="AW61" i="55"/>
  <c r="AY61" i="55" s="1"/>
  <c r="BH91" i="55"/>
  <c r="BG61" i="55"/>
  <c r="AW70" i="55"/>
  <c r="D70" i="55" s="1"/>
  <c r="AX61" i="55"/>
  <c r="F61" i="55" s="1"/>
  <c r="BH61" i="55"/>
  <c r="BH68" i="55"/>
  <c r="AW78" i="55"/>
  <c r="D78" i="55" s="1"/>
  <c r="BH102" i="55"/>
  <c r="BG68" i="55"/>
  <c r="AW68" i="55"/>
  <c r="D68" i="55" s="1"/>
  <c r="BF68" i="55" s="1"/>
  <c r="AX63" i="55"/>
  <c r="F63" i="55" s="1"/>
  <c r="AW87" i="55"/>
  <c r="D87" i="55" s="1"/>
  <c r="AW90" i="55"/>
  <c r="BG102" i="55"/>
  <c r="AX92" i="55"/>
  <c r="F92" i="55" s="1"/>
  <c r="BG83" i="55"/>
  <c r="BG108" i="55"/>
  <c r="AW65" i="55"/>
  <c r="D65" i="55" s="1"/>
  <c r="AX106" i="55"/>
  <c r="F106" i="55" s="1"/>
  <c r="AX83" i="55"/>
  <c r="F83" i="55" s="1"/>
  <c r="BH83" i="55"/>
  <c r="BG92" i="55"/>
  <c r="BH92" i="55"/>
  <c r="AW92" i="55"/>
  <c r="D92" i="55" s="1"/>
  <c r="AW108" i="55"/>
  <c r="D108" i="55" s="1"/>
  <c r="AW102" i="55"/>
  <c r="D102" i="55" s="1"/>
  <c r="AW110" i="55"/>
  <c r="D110" i="55" s="1"/>
  <c r="BG69" i="55"/>
  <c r="BH69" i="55"/>
  <c r="AW69" i="55"/>
  <c r="D69" i="55" s="1"/>
  <c r="BF69" i="55" s="1"/>
  <c r="BH108" i="55"/>
  <c r="BH62" i="55"/>
  <c r="BG62" i="55"/>
  <c r="AX62" i="55"/>
  <c r="F62" i="55" s="1"/>
  <c r="BG84" i="55"/>
  <c r="BH84" i="55"/>
  <c r="AX66" i="55"/>
  <c r="F66" i="55" s="1"/>
  <c r="AW84" i="55"/>
  <c r="D84" i="55" s="1"/>
  <c r="AW101" i="55"/>
  <c r="D101" i="55" s="1"/>
  <c r="BG109" i="55"/>
  <c r="BH109" i="55"/>
  <c r="AX109" i="55"/>
  <c r="F109" i="55" s="1"/>
  <c r="BC109" i="55" s="1"/>
  <c r="BG86" i="55"/>
  <c r="AW86" i="55"/>
  <c r="D86" i="55" s="1"/>
  <c r="BF86" i="55" s="1"/>
  <c r="BH86" i="55"/>
  <c r="AW64" i="55"/>
  <c r="D64" i="55" s="1"/>
  <c r="AW99" i="55"/>
  <c r="D99" i="55" s="1"/>
  <c r="BG96" i="55"/>
  <c r="AX70" i="55"/>
  <c r="F70" i="55" s="1"/>
  <c r="BG70" i="55"/>
  <c r="BH70" i="55"/>
  <c r="BH99" i="55"/>
  <c r="BG99" i="55"/>
  <c r="AX99" i="55"/>
  <c r="F99" i="55" s="1"/>
  <c r="AX74" i="55"/>
  <c r="F74" i="55" s="1"/>
  <c r="AW96" i="55"/>
  <c r="D96" i="55" s="1"/>
  <c r="BF96" i="55" s="1"/>
  <c r="AX58" i="55"/>
  <c r="F58" i="55" s="1"/>
  <c r="BG58" i="55"/>
  <c r="BG87" i="55"/>
  <c r="BH58" i="55"/>
  <c r="BH87" i="55"/>
  <c r="AX87" i="55"/>
  <c r="F87" i="55" s="1"/>
  <c r="AX103" i="55"/>
  <c r="F103" i="55" s="1"/>
  <c r="BH106" i="55"/>
  <c r="AW88" i="55"/>
  <c r="D88" i="55" s="1"/>
  <c r="BG106" i="55"/>
  <c r="BH96" i="55"/>
  <c r="BH103" i="55"/>
  <c r="AW111" i="55"/>
  <c r="D111" i="55" s="1"/>
  <c r="AW106" i="55"/>
  <c r="D106" i="55" s="1"/>
  <c r="AW75" i="55"/>
  <c r="D75" i="55" s="1"/>
  <c r="BH90" i="55"/>
  <c r="BG103" i="55"/>
  <c r="AX89" i="55"/>
  <c r="F89" i="55" s="1"/>
  <c r="AX82" i="55"/>
  <c r="F82" i="55" s="1"/>
  <c r="BH81" i="55"/>
  <c r="BH66" i="55"/>
  <c r="AW66" i="55"/>
  <c r="D66" i="55" s="1"/>
  <c r="BG66" i="55"/>
  <c r="BG81" i="55"/>
  <c r="BG88" i="55"/>
  <c r="AW82" i="55"/>
  <c r="D82" i="55" s="1"/>
  <c r="AX88" i="55"/>
  <c r="AZ88" i="55" s="1"/>
  <c r="BH82" i="55"/>
  <c r="BH88" i="55"/>
  <c r="BG82" i="55"/>
  <c r="BG90" i="55"/>
  <c r="AW103" i="55"/>
  <c r="D103" i="55" s="1"/>
  <c r="BG107" i="55"/>
  <c r="AX81" i="55"/>
  <c r="F81" i="55" s="1"/>
  <c r="BC81" i="55" s="1"/>
  <c r="BH107" i="55"/>
  <c r="AW107" i="55"/>
  <c r="D107" i="55" s="1"/>
  <c r="AX90" i="55"/>
  <c r="AX105" i="55"/>
  <c r="F105" i="55" s="1"/>
  <c r="BC105" i="55" s="1"/>
  <c r="BG105" i="55"/>
  <c r="BH105" i="55"/>
  <c r="AX77" i="55"/>
  <c r="F77" i="55" s="1"/>
  <c r="BH77" i="55"/>
  <c r="BG77" i="55"/>
  <c r="BG110" i="55"/>
  <c r="BG78" i="55"/>
  <c r="BH110" i="55"/>
  <c r="AX71" i="55"/>
  <c r="F71" i="55" s="1"/>
  <c r="AX110" i="55"/>
  <c r="F110" i="55" s="1"/>
  <c r="AX98" i="55"/>
  <c r="F98" i="55" s="1"/>
  <c r="AX78" i="55"/>
  <c r="F78" i="55" s="1"/>
  <c r="BH89" i="55"/>
  <c r="BH98" i="55"/>
  <c r="BG98" i="55"/>
  <c r="BG89" i="55"/>
  <c r="BH78" i="55"/>
  <c r="AW89" i="55"/>
  <c r="D89" i="55" s="1"/>
  <c r="BH64" i="55"/>
  <c r="BH65" i="55"/>
  <c r="BG64" i="55"/>
  <c r="BG65" i="55"/>
  <c r="AX64" i="55"/>
  <c r="F64" i="55" s="1"/>
  <c r="AX65" i="55"/>
  <c r="AZ65" i="55" s="1"/>
  <c r="AX95" i="55"/>
  <c r="F95" i="55" s="1"/>
  <c r="BH75" i="55"/>
  <c r="BG73" i="55"/>
  <c r="AW73" i="55"/>
  <c r="D73" i="55" s="1"/>
  <c r="BC73" i="55" s="1"/>
  <c r="AW63" i="55"/>
  <c r="D63" i="55" s="1"/>
  <c r="BF63" i="55" s="1"/>
  <c r="BH73" i="55"/>
  <c r="BH63" i="55"/>
  <c r="BG63" i="55"/>
  <c r="BG75" i="55"/>
  <c r="BH74" i="55"/>
  <c r="AW104" i="55"/>
  <c r="D104" i="55" s="1"/>
  <c r="BG76" i="55"/>
  <c r="BH71" i="55"/>
  <c r="AW71" i="55"/>
  <c r="D71" i="55" s="1"/>
  <c r="BG71" i="55"/>
  <c r="AW94" i="55"/>
  <c r="D94" i="55" s="1"/>
  <c r="BH76" i="55"/>
  <c r="BG104" i="55"/>
  <c r="AX76" i="55"/>
  <c r="F76" i="55" s="1"/>
  <c r="BC76" i="55" s="1"/>
  <c r="BH100" i="55"/>
  <c r="BG74" i="55"/>
  <c r="BG60" i="55"/>
  <c r="BH95" i="55"/>
  <c r="AX104" i="55"/>
  <c r="F104" i="55" s="1"/>
  <c r="BG100" i="55"/>
  <c r="AW100" i="55"/>
  <c r="D100" i="55" s="1"/>
  <c r="BC100" i="55" s="1"/>
  <c r="AW74" i="55"/>
  <c r="D74" i="55" s="1"/>
  <c r="BH104" i="55"/>
  <c r="BH60" i="55"/>
  <c r="BH101" i="55"/>
  <c r="BG101" i="55"/>
  <c r="AX101" i="55"/>
  <c r="F101" i="55" s="1"/>
  <c r="BG95" i="55"/>
  <c r="AX75" i="55"/>
  <c r="F75" i="55" s="1"/>
  <c r="AX60" i="55"/>
  <c r="F60" i="55" s="1"/>
  <c r="AW95" i="55"/>
  <c r="D95" i="55" s="1"/>
  <c r="AZ93" i="55"/>
  <c r="AZ68" i="55"/>
  <c r="AY112" i="55"/>
  <c r="AY97" i="55"/>
  <c r="AY109" i="55"/>
  <c r="AZ100" i="55"/>
  <c r="AZ96" i="55"/>
  <c r="AX111" i="55"/>
  <c r="AZ111" i="55" s="1"/>
  <c r="Q10" i="44" s="1"/>
  <c r="AX94" i="55"/>
  <c r="F94" i="55" s="1"/>
  <c r="AY105" i="55"/>
  <c r="F84" i="55"/>
  <c r="AX79" i="55"/>
  <c r="F79" i="55" s="1"/>
  <c r="AZ86" i="55"/>
  <c r="BG79" i="55"/>
  <c r="BH79" i="55"/>
  <c r="BC72" i="55"/>
  <c r="AZ72" i="55"/>
  <c r="AZ69" i="55"/>
  <c r="AZ85" i="55"/>
  <c r="AW32" i="55"/>
  <c r="AY32" i="55" s="1"/>
  <c r="BG94" i="55"/>
  <c r="BH94" i="55"/>
  <c r="BG111" i="55"/>
  <c r="AZ73" i="55"/>
  <c r="BH111" i="55"/>
  <c r="AW5" i="55"/>
  <c r="AY5" i="55" s="1"/>
  <c r="AW9" i="55"/>
  <c r="D9" i="55" s="1"/>
  <c r="AW20" i="55"/>
  <c r="AY20" i="55" s="1"/>
  <c r="AX18" i="55"/>
  <c r="AZ18" i="55" s="1"/>
  <c r="AX46" i="55"/>
  <c r="F46" i="55" s="1"/>
  <c r="AX11" i="55"/>
  <c r="AZ11" i="55" s="1"/>
  <c r="AW46" i="55"/>
  <c r="AY46" i="55" s="1"/>
  <c r="F23" i="55"/>
  <c r="BH46" i="55"/>
  <c r="BG46" i="55"/>
  <c r="BH18" i="55"/>
  <c r="AX33" i="55"/>
  <c r="AZ33" i="55" s="1"/>
  <c r="AX13" i="55"/>
  <c r="BG18" i="55"/>
  <c r="AW18" i="55"/>
  <c r="AY18" i="55" s="1"/>
  <c r="AW38" i="55"/>
  <c r="D38" i="55" s="1"/>
  <c r="AX55" i="55"/>
  <c r="AZ55" i="55" s="1"/>
  <c r="AX3" i="55"/>
  <c r="AX7" i="55"/>
  <c r="AX44" i="55"/>
  <c r="F44" i="55" s="1"/>
  <c r="AW42" i="55"/>
  <c r="D42" i="55" s="1"/>
  <c r="AW21" i="55"/>
  <c r="AY21" i="55" s="1"/>
  <c r="BH3" i="55"/>
  <c r="BH55" i="55"/>
  <c r="BG3" i="55"/>
  <c r="AW3" i="55"/>
  <c r="AY3" i="55" s="1"/>
  <c r="BH9" i="55"/>
  <c r="AX9" i="55"/>
  <c r="AW26" i="55"/>
  <c r="AY26" i="55" s="1"/>
  <c r="BG9" i="55"/>
  <c r="BG55" i="55"/>
  <c r="AW55" i="55"/>
  <c r="AY55" i="55" s="1"/>
  <c r="AX39" i="55"/>
  <c r="AZ39" i="55" s="1"/>
  <c r="AW43" i="55"/>
  <c r="AY43" i="55" s="1"/>
  <c r="AZ24" i="55"/>
  <c r="AX49" i="55"/>
  <c r="AZ49" i="55" s="1"/>
  <c r="BG23" i="55"/>
  <c r="BH23" i="55"/>
  <c r="AW23" i="55"/>
  <c r="AY23" i="55" s="1"/>
  <c r="AW51" i="55"/>
  <c r="AY51" i="55" s="1"/>
  <c r="AZ47" i="55"/>
  <c r="AW12" i="55"/>
  <c r="AY12" i="55" s="1"/>
  <c r="R10" i="44" s="1"/>
  <c r="AW48" i="55"/>
  <c r="AY48" i="55" s="1"/>
  <c r="AW30" i="55"/>
  <c r="AY30" i="55" s="1"/>
  <c r="AX14" i="55"/>
  <c r="F28" i="55"/>
  <c r="AW8" i="55"/>
  <c r="AY8" i="55" s="1"/>
  <c r="AX41" i="55"/>
  <c r="AZ41" i="55" s="1"/>
  <c r="AX38" i="55"/>
  <c r="AZ38" i="55" s="1"/>
  <c r="AX54" i="55"/>
  <c r="F54" i="55" s="1"/>
  <c r="AW16" i="55"/>
  <c r="AY16" i="55" s="1"/>
  <c r="AW7" i="55"/>
  <c r="AY7" i="55" s="1"/>
  <c r="AW57" i="55"/>
  <c r="AY57" i="55" s="1"/>
  <c r="AW37" i="55"/>
  <c r="D37" i="55" s="1"/>
  <c r="AW44" i="55"/>
  <c r="AY44" i="55" s="1"/>
  <c r="AX25" i="55"/>
  <c r="AW52" i="55"/>
  <c r="AY52" i="55" s="1"/>
  <c r="BH7" i="55"/>
  <c r="AW6" i="55"/>
  <c r="AY6" i="55" s="1"/>
  <c r="AW35" i="55"/>
  <c r="AY35" i="55" s="1"/>
  <c r="AX31" i="55"/>
  <c r="AZ31" i="55" s="1"/>
  <c r="AX15" i="55"/>
  <c r="BH38" i="55"/>
  <c r="AX30" i="55"/>
  <c r="AZ30" i="55" s="1"/>
  <c r="BG38" i="55"/>
  <c r="AX10" i="55"/>
  <c r="AX20" i="55"/>
  <c r="BG11" i="55"/>
  <c r="BH11" i="55"/>
  <c r="AW11" i="55"/>
  <c r="AY11" i="55" s="1"/>
  <c r="BG15" i="55"/>
  <c r="BG20" i="55"/>
  <c r="BG30" i="55"/>
  <c r="BG7" i="55"/>
  <c r="BH20" i="55"/>
  <c r="BH30" i="55"/>
  <c r="BG31" i="55"/>
  <c r="BG44" i="55"/>
  <c r="BH44" i="55"/>
  <c r="BG25" i="55"/>
  <c r="AW28" i="55"/>
  <c r="D28" i="55" s="1"/>
  <c r="BH15" i="55"/>
  <c r="BG54" i="55"/>
  <c r="BG14" i="55"/>
  <c r="AW53" i="55"/>
  <c r="AY53" i="55" s="1"/>
  <c r="AW17" i="55"/>
  <c r="AY17" i="55" s="1"/>
  <c r="BH31" i="55"/>
  <c r="AW45" i="55"/>
  <c r="AY45" i="55" s="1"/>
  <c r="AW15" i="55"/>
  <c r="AY15" i="55" s="1"/>
  <c r="AW50" i="55"/>
  <c r="D50" i="55" s="1"/>
  <c r="AW27" i="55"/>
  <c r="AY27" i="55" s="1"/>
  <c r="AW19" i="55"/>
  <c r="AY19" i="55" s="1"/>
  <c r="BH28" i="55"/>
  <c r="AW31" i="55"/>
  <c r="AY31" i="55" s="1"/>
  <c r="AW56" i="55"/>
  <c r="AY56" i="55" s="1"/>
  <c r="BH14" i="55"/>
  <c r="BG28" i="55"/>
  <c r="AW14" i="55"/>
  <c r="AY14" i="55" s="1"/>
  <c r="AW24" i="55"/>
  <c r="AY24" i="55" s="1"/>
  <c r="BH25" i="55"/>
  <c r="BG10" i="55"/>
  <c r="AW10" i="55"/>
  <c r="AY10" i="55" s="1"/>
  <c r="AW25" i="55"/>
  <c r="AY25" i="55" s="1"/>
  <c r="BH10" i="55"/>
  <c r="BG24" i="55"/>
  <c r="AW40" i="55"/>
  <c r="AY40" i="55" s="1"/>
  <c r="BH54" i="55"/>
  <c r="BH24" i="55"/>
  <c r="AW54" i="55"/>
  <c r="D54" i="55" s="1"/>
  <c r="BH8" i="55"/>
  <c r="BG13" i="55"/>
  <c r="AW34" i="55"/>
  <c r="D34" i="55" s="1"/>
  <c r="AW4" i="55"/>
  <c r="AY4" i="55" s="1"/>
  <c r="AW36" i="55"/>
  <c r="AY36" i="55" s="1"/>
  <c r="AW29" i="55"/>
  <c r="AY29" i="55" s="1"/>
  <c r="BG42" i="55"/>
  <c r="BH47" i="55"/>
  <c r="AW22" i="55"/>
  <c r="AY22" i="55" s="1"/>
  <c r="R7" i="44" s="1"/>
  <c r="BH43" i="55"/>
  <c r="BG8" i="55"/>
  <c r="BH42" i="55"/>
  <c r="BH36" i="55"/>
  <c r="BH41" i="55"/>
  <c r="BG21" i="55"/>
  <c r="BG53" i="55"/>
  <c r="BG41" i="55"/>
  <c r="BH52" i="55"/>
  <c r="BH49" i="55"/>
  <c r="BH34" i="55"/>
  <c r="BH22" i="55"/>
  <c r="BH21" i="55"/>
  <c r="BH5" i="55"/>
  <c r="AW41" i="55"/>
  <c r="D41" i="55" s="1"/>
  <c r="AW47" i="55"/>
  <c r="AY47" i="55" s="1"/>
  <c r="BG47" i="55"/>
  <c r="BG4" i="55"/>
  <c r="BG52" i="55"/>
  <c r="BG43" i="55"/>
  <c r="BG34" i="55"/>
  <c r="AW13" i="55"/>
  <c r="AY13" i="55" s="1"/>
  <c r="BG26" i="55"/>
  <c r="BH56" i="55"/>
  <c r="BH45" i="55"/>
  <c r="BG6" i="55"/>
  <c r="AX34" i="55"/>
  <c r="F34" i="55" s="1"/>
  <c r="BH27" i="55"/>
  <c r="AW33" i="55"/>
  <c r="D33" i="55" s="1"/>
  <c r="BG36" i="55"/>
  <c r="BH16" i="55"/>
  <c r="BH29" i="55"/>
  <c r="BG5" i="55"/>
  <c r="BG35" i="55"/>
  <c r="AW49" i="55"/>
  <c r="D49" i="55" s="1"/>
  <c r="BH13" i="55"/>
  <c r="BG22" i="55"/>
  <c r="BG49" i="55"/>
  <c r="AX26" i="55"/>
  <c r="BH19" i="55"/>
  <c r="BH57" i="55"/>
  <c r="BG51" i="55"/>
  <c r="BG12" i="55"/>
  <c r="BH17" i="55"/>
  <c r="BH40" i="55"/>
  <c r="BH50" i="55"/>
  <c r="AX6" i="55"/>
  <c r="BH33" i="55"/>
  <c r="BG48" i="55"/>
  <c r="BH32" i="55"/>
  <c r="BG37" i="55"/>
  <c r="BH53" i="55"/>
  <c r="BG45" i="55"/>
  <c r="BG29" i="55"/>
  <c r="BG17" i="55"/>
  <c r="AX19" i="55"/>
  <c r="AX4" i="55"/>
  <c r="AX50" i="55"/>
  <c r="AX22" i="55"/>
  <c r="AX27" i="55"/>
  <c r="BH39" i="55"/>
  <c r="AW39" i="55"/>
  <c r="AX36" i="55"/>
  <c r="AX29" i="55"/>
  <c r="AX35" i="55"/>
  <c r="BH37" i="55"/>
  <c r="BG19" i="55"/>
  <c r="BG56" i="55"/>
  <c r="AX52" i="55"/>
  <c r="AX56" i="55"/>
  <c r="AX40" i="55"/>
  <c r="AX21" i="55"/>
  <c r="AX5" i="55"/>
  <c r="BH35" i="55"/>
  <c r="BH26" i="55"/>
  <c r="BH6" i="55"/>
  <c r="BG40" i="55"/>
  <c r="BG27" i="55"/>
  <c r="AX57" i="55"/>
  <c r="AX51" i="55"/>
  <c r="BG39" i="55"/>
  <c r="AX37" i="55"/>
  <c r="BG33" i="55"/>
  <c r="BG57" i="55"/>
  <c r="BH12" i="55"/>
  <c r="BG50" i="55"/>
  <c r="BH48" i="55"/>
  <c r="BH51" i="55"/>
  <c r="AX17" i="55"/>
  <c r="AX45" i="55"/>
  <c r="AX8" i="55"/>
  <c r="AX16" i="55"/>
  <c r="BG16" i="55"/>
  <c r="BH4" i="55"/>
  <c r="BG32" i="55"/>
  <c r="AX12" i="55"/>
  <c r="AX43" i="55"/>
  <c r="AX42" i="55"/>
  <c r="AX32" i="55"/>
  <c r="AX48" i="55"/>
  <c r="AX53" i="55"/>
  <c r="BI72" i="55"/>
  <c r="AY81" i="55"/>
  <c r="AY60" i="55"/>
  <c r="D60" i="55"/>
  <c r="AY80" i="55"/>
  <c r="AY72" i="55"/>
  <c r="AY76" i="55"/>
  <c r="BF80" i="55" l="1"/>
  <c r="D58" i="55"/>
  <c r="BF58" i="55" s="1"/>
  <c r="D62" i="55"/>
  <c r="BC62" i="55" s="1"/>
  <c r="BD107" i="55"/>
  <c r="AZ107" i="55"/>
  <c r="D59" i="55"/>
  <c r="BF59" i="55" s="1"/>
  <c r="F90" i="55"/>
  <c r="AZ90" i="55"/>
  <c r="D90" i="55"/>
  <c r="AY90" i="55"/>
  <c r="AY98" i="55"/>
  <c r="BI85" i="55"/>
  <c r="AY85" i="55"/>
  <c r="BB98" i="55"/>
  <c r="AY77" i="55"/>
  <c r="AY67" i="55"/>
  <c r="BC77" i="55"/>
  <c r="AZ97" i="55"/>
  <c r="AZ91" i="55"/>
  <c r="BD93" i="55"/>
  <c r="BC93" i="55"/>
  <c r="BF93" i="55"/>
  <c r="BE93" i="55"/>
  <c r="AY93" i="55"/>
  <c r="BI80" i="55"/>
  <c r="AZ80" i="55"/>
  <c r="BC67" i="55"/>
  <c r="D4" i="55"/>
  <c r="D3" i="55"/>
  <c r="AZ3" i="55"/>
  <c r="F3" i="55"/>
  <c r="AZ4" i="55"/>
  <c r="F4" i="55"/>
  <c r="AZ67" i="55"/>
  <c r="BI93" i="55"/>
  <c r="BI67" i="55"/>
  <c r="BB91" i="55"/>
  <c r="BI97" i="55"/>
  <c r="BI59" i="55"/>
  <c r="AZ59" i="55"/>
  <c r="BD91" i="55"/>
  <c r="BF91" i="55"/>
  <c r="AY91" i="55"/>
  <c r="D61" i="55"/>
  <c r="BD61" i="55" s="1"/>
  <c r="F112" i="55"/>
  <c r="BC112" i="55" s="1"/>
  <c r="AZ102" i="55"/>
  <c r="AZ108" i="55"/>
  <c r="BB102" i="55"/>
  <c r="BE91" i="55"/>
  <c r="AY79" i="55"/>
  <c r="BE108" i="55"/>
  <c r="BB97" i="55"/>
  <c r="BC97" i="55"/>
  <c r="BI112" i="55"/>
  <c r="BE97" i="55"/>
  <c r="BD97" i="55"/>
  <c r="BC91" i="55"/>
  <c r="AY70" i="55"/>
  <c r="BF79" i="55"/>
  <c r="BI91" i="55"/>
  <c r="AY83" i="55"/>
  <c r="BF83" i="55"/>
  <c r="AZ61" i="55"/>
  <c r="AY69" i="55"/>
  <c r="BC70" i="55"/>
  <c r="BI61" i="55"/>
  <c r="AY108" i="55"/>
  <c r="BD108" i="55"/>
  <c r="BI102" i="55"/>
  <c r="BI68" i="55"/>
  <c r="BF108" i="55"/>
  <c r="BC108" i="55"/>
  <c r="BB108" i="55"/>
  <c r="AY84" i="55"/>
  <c r="AY68" i="55"/>
  <c r="AZ106" i="55"/>
  <c r="BF78" i="55"/>
  <c r="AY78" i="55"/>
  <c r="AZ63" i="55"/>
  <c r="AZ92" i="55"/>
  <c r="BI84" i="55"/>
  <c r="AY87" i="55"/>
  <c r="AZ83" i="55"/>
  <c r="BC87" i="55"/>
  <c r="BI69" i="55"/>
  <c r="AZ66" i="55"/>
  <c r="BI83" i="55"/>
  <c r="AY65" i="55"/>
  <c r="BI62" i="55"/>
  <c r="AY92" i="55"/>
  <c r="BI108" i="55"/>
  <c r="BE92" i="55"/>
  <c r="BF92" i="55"/>
  <c r="BC92" i="55"/>
  <c r="BI92" i="55"/>
  <c r="BB92" i="55"/>
  <c r="BD92" i="55"/>
  <c r="AY110" i="55"/>
  <c r="BC110" i="55"/>
  <c r="BC66" i="55"/>
  <c r="BF106" i="55"/>
  <c r="AZ62" i="55"/>
  <c r="BF102" i="55"/>
  <c r="BD102" i="55"/>
  <c r="BC102" i="55"/>
  <c r="BE102" i="55"/>
  <c r="AY102" i="55"/>
  <c r="BC101" i="55"/>
  <c r="AY101" i="55"/>
  <c r="BI86" i="55"/>
  <c r="BI109" i="55"/>
  <c r="BD109" i="55"/>
  <c r="BB109" i="55"/>
  <c r="BF109" i="55"/>
  <c r="BE109" i="55"/>
  <c r="AZ109" i="55"/>
  <c r="AY64" i="55"/>
  <c r="AY86" i="55"/>
  <c r="BC86" i="55"/>
  <c r="BE86" i="55"/>
  <c r="BB86" i="55"/>
  <c r="BD86" i="55"/>
  <c r="BE99" i="55"/>
  <c r="AY99" i="55"/>
  <c r="AZ70" i="55"/>
  <c r="BI99" i="55"/>
  <c r="BC99" i="55"/>
  <c r="BI70" i="55"/>
  <c r="BI96" i="55"/>
  <c r="AZ99" i="55"/>
  <c r="BD99" i="55"/>
  <c r="BF99" i="55"/>
  <c r="BB99" i="55"/>
  <c r="BC96" i="55"/>
  <c r="AY75" i="55"/>
  <c r="AZ74" i="55"/>
  <c r="BC74" i="55"/>
  <c r="BB96" i="55"/>
  <c r="BE96" i="55"/>
  <c r="BD96" i="55"/>
  <c r="AY96" i="55"/>
  <c r="AZ58" i="55"/>
  <c r="AY88" i="55"/>
  <c r="BI106" i="55"/>
  <c r="BI87" i="55"/>
  <c r="BB106" i="55"/>
  <c r="BD106" i="55"/>
  <c r="BF87" i="55"/>
  <c r="BB87" i="55"/>
  <c r="BD87" i="55"/>
  <c r="BE87" i="55"/>
  <c r="BE106" i="55"/>
  <c r="BF103" i="55"/>
  <c r="BD103" i="55"/>
  <c r="AZ103" i="55"/>
  <c r="AZ87" i="55"/>
  <c r="BC106" i="55"/>
  <c r="BI58" i="55"/>
  <c r="BE107" i="55"/>
  <c r="BE103" i="55"/>
  <c r="AY111" i="55"/>
  <c r="Q9" i="44" s="1"/>
  <c r="BF75" i="55"/>
  <c r="BI103" i="55"/>
  <c r="BB103" i="55"/>
  <c r="BB110" i="55"/>
  <c r="BD110" i="55"/>
  <c r="BF110" i="55"/>
  <c r="AY106" i="55"/>
  <c r="AZ77" i="55"/>
  <c r="BI90" i="55"/>
  <c r="BE89" i="55"/>
  <c r="BI66" i="55"/>
  <c r="BI107" i="55"/>
  <c r="BD89" i="55"/>
  <c r="F88" i="55"/>
  <c r="BD88" i="55" s="1"/>
  <c r="AZ82" i="55"/>
  <c r="AZ89" i="55"/>
  <c r="BI88" i="55"/>
  <c r="BI82" i="55"/>
  <c r="BI81" i="55"/>
  <c r="BC103" i="55"/>
  <c r="BE110" i="55"/>
  <c r="AY103" i="55"/>
  <c r="BB105" i="55"/>
  <c r="BD105" i="55"/>
  <c r="AY66" i="55"/>
  <c r="BF105" i="55"/>
  <c r="BE105" i="55"/>
  <c r="BF89" i="55"/>
  <c r="BC82" i="55"/>
  <c r="BF82" i="55"/>
  <c r="AY82" i="55"/>
  <c r="AY107" i="55"/>
  <c r="BC107" i="55"/>
  <c r="BF107" i="55"/>
  <c r="BB107" i="55"/>
  <c r="BI78" i="55"/>
  <c r="AZ81" i="55"/>
  <c r="AZ110" i="55"/>
  <c r="BI77" i="55"/>
  <c r="AZ105" i="55"/>
  <c r="BI105" i="55"/>
  <c r="AZ71" i="55"/>
  <c r="BI110" i="55"/>
  <c r="F65" i="55"/>
  <c r="BF65" i="55" s="1"/>
  <c r="BI64" i="55"/>
  <c r="BC98" i="55"/>
  <c r="BD98" i="55"/>
  <c r="BF71" i="55"/>
  <c r="BF98" i="55"/>
  <c r="AZ98" i="55"/>
  <c r="BE98" i="55"/>
  <c r="BI63" i="55"/>
  <c r="BI98" i="55"/>
  <c r="AZ78" i="55"/>
  <c r="BI89" i="55"/>
  <c r="BB89" i="55"/>
  <c r="BC89" i="55"/>
  <c r="AZ64" i="55"/>
  <c r="BI65" i="55"/>
  <c r="AY89" i="55"/>
  <c r="AZ95" i="55"/>
  <c r="BI73" i="55"/>
  <c r="BF95" i="55"/>
  <c r="BI71" i="55"/>
  <c r="AY73" i="55"/>
  <c r="BI75" i="55"/>
  <c r="AY63" i="55"/>
  <c r="BI74" i="55"/>
  <c r="BI101" i="55"/>
  <c r="BI76" i="55"/>
  <c r="BB101" i="55"/>
  <c r="BB104" i="55"/>
  <c r="BF100" i="55"/>
  <c r="BF104" i="55"/>
  <c r="BB100" i="55"/>
  <c r="BD100" i="55"/>
  <c r="AY71" i="55"/>
  <c r="BE100" i="55"/>
  <c r="BE104" i="55"/>
  <c r="BD104" i="55"/>
  <c r="AY104" i="55"/>
  <c r="BC94" i="55"/>
  <c r="BC104" i="55"/>
  <c r="BI100" i="55"/>
  <c r="AY94" i="55"/>
  <c r="AZ76" i="55"/>
  <c r="AY74" i="55"/>
  <c r="BI104" i="55"/>
  <c r="AY100" i="55"/>
  <c r="AZ75" i="55"/>
  <c r="AZ104" i="55"/>
  <c r="BI95" i="55"/>
  <c r="BI60" i="55"/>
  <c r="BE101" i="55"/>
  <c r="BD101" i="55"/>
  <c r="BF101" i="55"/>
  <c r="BC60" i="55"/>
  <c r="BC95" i="55"/>
  <c r="BE95" i="55"/>
  <c r="BD95" i="55"/>
  <c r="BB95" i="55"/>
  <c r="AZ101" i="55"/>
  <c r="AY95" i="55"/>
  <c r="AZ60" i="55"/>
  <c r="F111" i="55"/>
  <c r="BC111" i="55" s="1"/>
  <c r="AZ94" i="55"/>
  <c r="AZ79" i="55"/>
  <c r="BB94" i="55"/>
  <c r="BI79" i="55"/>
  <c r="BE94" i="55"/>
  <c r="D20" i="55"/>
  <c r="BI94" i="55"/>
  <c r="BF94" i="55"/>
  <c r="BD94" i="55"/>
  <c r="D32" i="55"/>
  <c r="D5" i="55"/>
  <c r="AY9" i="55"/>
  <c r="BI111" i="55"/>
  <c r="D46" i="55"/>
  <c r="BC46" i="55" s="1"/>
  <c r="F18" i="55"/>
  <c r="D10" i="55"/>
  <c r="BI55" i="55"/>
  <c r="AZ46" i="55"/>
  <c r="D23" i="55"/>
  <c r="BF23" i="55" s="1"/>
  <c r="D12" i="55"/>
  <c r="BI50" i="55"/>
  <c r="D21" i="55"/>
  <c r="F11" i="55"/>
  <c r="D25" i="55"/>
  <c r="D22" i="55"/>
  <c r="D16" i="55"/>
  <c r="D43" i="55"/>
  <c r="D13" i="55"/>
  <c r="D15" i="55"/>
  <c r="BI46" i="55"/>
  <c r="D17" i="55"/>
  <c r="D11" i="55"/>
  <c r="D7" i="55"/>
  <c r="BI18" i="55"/>
  <c r="AZ27" i="55"/>
  <c r="F27" i="55"/>
  <c r="AZ10" i="55"/>
  <c r="F10" i="55"/>
  <c r="D6" i="55"/>
  <c r="D14" i="55"/>
  <c r="AZ8" i="55"/>
  <c r="F8" i="55"/>
  <c r="AZ22" i="55"/>
  <c r="R6" i="44" s="1"/>
  <c r="F22" i="55"/>
  <c r="AZ9" i="55"/>
  <c r="F9" i="55"/>
  <c r="BF9" i="55" s="1"/>
  <c r="AZ13" i="55"/>
  <c r="F13" i="55"/>
  <c r="AZ16" i="55"/>
  <c r="F16" i="55"/>
  <c r="D18" i="55"/>
  <c r="D24" i="55"/>
  <c r="BC24" i="55" s="1"/>
  <c r="AZ20" i="55"/>
  <c r="F20" i="55"/>
  <c r="D19" i="55"/>
  <c r="AZ17" i="55"/>
  <c r="F17" i="55"/>
  <c r="AZ5" i="55"/>
  <c r="F5" i="55"/>
  <c r="BC5" i="55" s="1"/>
  <c r="AZ14" i="55"/>
  <c r="F14" i="55"/>
  <c r="AZ7" i="55"/>
  <c r="F7" i="55"/>
  <c r="D8" i="55"/>
  <c r="D27" i="55"/>
  <c r="AZ12" i="55"/>
  <c r="R9" i="44" s="1"/>
  <c r="F12" i="55"/>
  <c r="AZ21" i="55"/>
  <c r="F21" i="55"/>
  <c r="AZ19" i="55"/>
  <c r="F19" i="55"/>
  <c r="AZ15" i="55"/>
  <c r="F15" i="55"/>
  <c r="D26" i="55"/>
  <c r="AZ6" i="55"/>
  <c r="F6" i="55"/>
  <c r="AZ26" i="55"/>
  <c r="F26" i="55"/>
  <c r="AZ25" i="55"/>
  <c r="F25" i="55"/>
  <c r="AY38" i="55"/>
  <c r="F33" i="55"/>
  <c r="BD33" i="55" s="1"/>
  <c r="F55" i="55"/>
  <c r="AY42" i="55"/>
  <c r="BI3" i="55"/>
  <c r="AZ44" i="55"/>
  <c r="D55" i="55"/>
  <c r="BI9" i="55"/>
  <c r="F39" i="55"/>
  <c r="F49" i="55"/>
  <c r="BE49" i="55" s="1"/>
  <c r="D30" i="55"/>
  <c r="BI23" i="55"/>
  <c r="D57" i="55"/>
  <c r="D51" i="55"/>
  <c r="F41" i="55"/>
  <c r="BD41" i="55" s="1"/>
  <c r="AY37" i="55"/>
  <c r="BI38" i="55"/>
  <c r="D35" i="55"/>
  <c r="D48" i="55"/>
  <c r="F30" i="55"/>
  <c r="AZ54" i="55"/>
  <c r="BF28" i="55"/>
  <c r="D44" i="55"/>
  <c r="BI35" i="55"/>
  <c r="D52" i="55"/>
  <c r="BI44" i="55"/>
  <c r="D56" i="55"/>
  <c r="F38" i="55"/>
  <c r="BF38" i="55" s="1"/>
  <c r="BI22" i="55"/>
  <c r="BI7" i="55"/>
  <c r="F31" i="55"/>
  <c r="BI20" i="55"/>
  <c r="AY28" i="55"/>
  <c r="BI11" i="55"/>
  <c r="BI31" i="55"/>
  <c r="BI15" i="55"/>
  <c r="D53" i="55"/>
  <c r="BI25" i="55"/>
  <c r="BI40" i="55"/>
  <c r="D45" i="55"/>
  <c r="BI30" i="55"/>
  <c r="D40" i="55"/>
  <c r="BI54" i="55"/>
  <c r="BI37" i="55"/>
  <c r="D31" i="55"/>
  <c r="BI10" i="55"/>
  <c r="BI28" i="55"/>
  <c r="AY54" i="55"/>
  <c r="BI14" i="55"/>
  <c r="AY50" i="55"/>
  <c r="AY33" i="55"/>
  <c r="BI24" i="55"/>
  <c r="BI21" i="55"/>
  <c r="AY34" i="55"/>
  <c r="BI47" i="55"/>
  <c r="BI42" i="55"/>
  <c r="BI8" i="55"/>
  <c r="BI45" i="55"/>
  <c r="BI13" i="55"/>
  <c r="BI51" i="55"/>
  <c r="D36" i="55"/>
  <c r="BI32" i="55"/>
  <c r="D29" i="55"/>
  <c r="BI4" i="55"/>
  <c r="BI49" i="55"/>
  <c r="AY49" i="55"/>
  <c r="BI48" i="55"/>
  <c r="D47" i="55"/>
  <c r="BF47" i="55" s="1"/>
  <c r="BI33" i="55"/>
  <c r="BI19" i="55"/>
  <c r="BI52" i="55"/>
  <c r="BI53" i="55"/>
  <c r="BI12" i="55"/>
  <c r="BI34" i="55"/>
  <c r="BI43" i="55"/>
  <c r="AY41" i="55"/>
  <c r="BI26" i="55"/>
  <c r="BI41" i="55"/>
  <c r="BI29" i="55"/>
  <c r="BI36" i="55"/>
  <c r="BI5" i="55"/>
  <c r="BI16" i="55"/>
  <c r="BI57" i="55"/>
  <c r="BI6" i="55"/>
  <c r="BI56" i="55"/>
  <c r="BI17" i="55"/>
  <c r="BI27" i="55"/>
  <c r="BI39" i="55"/>
  <c r="AZ34" i="55"/>
  <c r="AZ42" i="55"/>
  <c r="F42" i="55"/>
  <c r="BF42" i="55" s="1"/>
  <c r="F45" i="55"/>
  <c r="AZ45" i="55"/>
  <c r="AZ43" i="55"/>
  <c r="F43" i="55"/>
  <c r="F37" i="55"/>
  <c r="BD37" i="55" s="1"/>
  <c r="AZ37" i="55"/>
  <c r="AZ50" i="55"/>
  <c r="F50" i="55"/>
  <c r="BF50" i="55" s="1"/>
  <c r="AZ32" i="55"/>
  <c r="F32" i="55"/>
  <c r="F35" i="55"/>
  <c r="AZ35" i="55"/>
  <c r="AZ51" i="55"/>
  <c r="F51" i="55"/>
  <c r="F29" i="55"/>
  <c r="AZ29" i="55"/>
  <c r="F57" i="55"/>
  <c r="AZ57" i="55"/>
  <c r="F40" i="55"/>
  <c r="AZ40" i="55"/>
  <c r="F36" i="55"/>
  <c r="AZ36" i="55"/>
  <c r="F53" i="55"/>
  <c r="AZ53" i="55"/>
  <c r="AZ56" i="55"/>
  <c r="F56" i="55"/>
  <c r="D39" i="55"/>
  <c r="AY39" i="55"/>
  <c r="AZ48" i="55"/>
  <c r="F48" i="55"/>
  <c r="AZ52" i="55"/>
  <c r="F52" i="55"/>
  <c r="BC71" i="55"/>
  <c r="BC58" i="55"/>
  <c r="BC68" i="55"/>
  <c r="BB72" i="55"/>
  <c r="BD72" i="55"/>
  <c r="BE72" i="55"/>
  <c r="BF72" i="55"/>
  <c r="BE81" i="55"/>
  <c r="BD81" i="55"/>
  <c r="BB81" i="55"/>
  <c r="BF81" i="55"/>
  <c r="BD69" i="55"/>
  <c r="BE69" i="55"/>
  <c r="BB69" i="55"/>
  <c r="BE74" i="55"/>
  <c r="BD74" i="55"/>
  <c r="BB74" i="55"/>
  <c r="BE71" i="55"/>
  <c r="BB71" i="55"/>
  <c r="BD71" i="55"/>
  <c r="BC85" i="55"/>
  <c r="BF74" i="55"/>
  <c r="BC79" i="55"/>
  <c r="BE54" i="55"/>
  <c r="BB54" i="55"/>
  <c r="BD54" i="55"/>
  <c r="BE34" i="55"/>
  <c r="BB34" i="55"/>
  <c r="BD34" i="55"/>
  <c r="BE80" i="55"/>
  <c r="BD80" i="55"/>
  <c r="BB80" i="55"/>
  <c r="BE78" i="55"/>
  <c r="BD78" i="55"/>
  <c r="BB78" i="55"/>
  <c r="BC83" i="55"/>
  <c r="BD70" i="55"/>
  <c r="BB70" i="55"/>
  <c r="BE70" i="55"/>
  <c r="BD64" i="55"/>
  <c r="BB64" i="55"/>
  <c r="BE64" i="55"/>
  <c r="BC75" i="55"/>
  <c r="BC78" i="55"/>
  <c r="BD85" i="55"/>
  <c r="BE85" i="55"/>
  <c r="BB85" i="55"/>
  <c r="BC80" i="55"/>
  <c r="BF67" i="55"/>
  <c r="BC28" i="55"/>
  <c r="BC54" i="55"/>
  <c r="BF60" i="55"/>
  <c r="BC69" i="55"/>
  <c r="BF70" i="55"/>
  <c r="BE62" i="55"/>
  <c r="BF62" i="55"/>
  <c r="BF54" i="55"/>
  <c r="BD28" i="55"/>
  <c r="BE28" i="55"/>
  <c r="BB28" i="55"/>
  <c r="BD66" i="55"/>
  <c r="BB66" i="55"/>
  <c r="BE66" i="55"/>
  <c r="BF66" i="55"/>
  <c r="BE73" i="55"/>
  <c r="BB73" i="55"/>
  <c r="BD73" i="55"/>
  <c r="BE63" i="55"/>
  <c r="BD63" i="55"/>
  <c r="BB63" i="55"/>
  <c r="BE84" i="55"/>
  <c r="BD84" i="55"/>
  <c r="BB84" i="55"/>
  <c r="BF84" i="55"/>
  <c r="BC84" i="55"/>
  <c r="BE76" i="55"/>
  <c r="BB76" i="55"/>
  <c r="BD76" i="55"/>
  <c r="BD77" i="55"/>
  <c r="BB77" i="55"/>
  <c r="BE77" i="55"/>
  <c r="BF77" i="55"/>
  <c r="BF73" i="55"/>
  <c r="BC34" i="55"/>
  <c r="BE58" i="55"/>
  <c r="BD58" i="55"/>
  <c r="BB58" i="55"/>
  <c r="BD68" i="55"/>
  <c r="BB68" i="55"/>
  <c r="BE68" i="55"/>
  <c r="BC64" i="55"/>
  <c r="BE82" i="55"/>
  <c r="BB82" i="55"/>
  <c r="BD82" i="55"/>
  <c r="BE79" i="55"/>
  <c r="BB79" i="55"/>
  <c r="BD79" i="55"/>
  <c r="BD75" i="55"/>
  <c r="BE75" i="55"/>
  <c r="BB75" i="55"/>
  <c r="BE83" i="55"/>
  <c r="BB83" i="55"/>
  <c r="BD83" i="55"/>
  <c r="BF34" i="55"/>
  <c r="BF76" i="55"/>
  <c r="BE60" i="55"/>
  <c r="BB60" i="55"/>
  <c r="BD60" i="55"/>
  <c r="BE67" i="55"/>
  <c r="BB67" i="55"/>
  <c r="BD67" i="55"/>
  <c r="BC63" i="55"/>
  <c r="BF64" i="55"/>
  <c r="S7" i="44" l="1"/>
  <c r="BD62" i="55"/>
  <c r="BB62" i="55"/>
  <c r="BB59" i="55"/>
  <c r="BC59" i="55"/>
  <c r="BD59" i="55"/>
  <c r="BE59" i="55"/>
  <c r="BC90" i="55"/>
  <c r="BB90" i="55"/>
  <c r="BD90" i="55"/>
  <c r="BE90" i="55"/>
  <c r="BF90" i="55"/>
  <c r="D2" i="43"/>
  <c r="J2" i="43"/>
  <c r="F2" i="43"/>
  <c r="G2" i="43"/>
  <c r="H2" i="43"/>
  <c r="I2" i="43"/>
  <c r="C2" i="43"/>
  <c r="E2" i="43"/>
  <c r="K2" i="43"/>
  <c r="L2" i="43"/>
  <c r="B2" i="43"/>
  <c r="BE3" i="55"/>
  <c r="BC3" i="55"/>
  <c r="BF3" i="55"/>
  <c r="BD3" i="55"/>
  <c r="BB3" i="55"/>
  <c r="BC4" i="55"/>
  <c r="BE4" i="55"/>
  <c r="BB4" i="55"/>
  <c r="BF4" i="55"/>
  <c r="BD4" i="55"/>
  <c r="BD112" i="55"/>
  <c r="BE61" i="55"/>
  <c r="BF61" i="55"/>
  <c r="BB61" i="55"/>
  <c r="BC61" i="55"/>
  <c r="BB112" i="55"/>
  <c r="BF112" i="55"/>
  <c r="BE112" i="55"/>
  <c r="BF44" i="55"/>
  <c r="BE88" i="55"/>
  <c r="BC88" i="55"/>
  <c r="BF88" i="55"/>
  <c r="BB88" i="55"/>
  <c r="BC65" i="55"/>
  <c r="BB65" i="55"/>
  <c r="BE65" i="55"/>
  <c r="BD65" i="55"/>
  <c r="BD111" i="55"/>
  <c r="BF111" i="55"/>
  <c r="BE111" i="55"/>
  <c r="BB111" i="55"/>
  <c r="BF20" i="55"/>
  <c r="BC32" i="55"/>
  <c r="BF16" i="55"/>
  <c r="BE46" i="55"/>
  <c r="BB46" i="55"/>
  <c r="BF46" i="55"/>
  <c r="BD46" i="55"/>
  <c r="BC18" i="55"/>
  <c r="BB13" i="55"/>
  <c r="BF10" i="55"/>
  <c r="BB10" i="55"/>
  <c r="BB15" i="55"/>
  <c r="BB21" i="55"/>
  <c r="BB23" i="55"/>
  <c r="BE23" i="55"/>
  <c r="BC23" i="55"/>
  <c r="BD23" i="55"/>
  <c r="BF12" i="55"/>
  <c r="BC19" i="55"/>
  <c r="BB20" i="55"/>
  <c r="BB22" i="55"/>
  <c r="BB9" i="55"/>
  <c r="BC11" i="55"/>
  <c r="BB26" i="55"/>
  <c r="BC21" i="55"/>
  <c r="BB8" i="55"/>
  <c r="BB16" i="55"/>
  <c r="BB7" i="55"/>
  <c r="BB25" i="55"/>
  <c r="BC6" i="55"/>
  <c r="BC43" i="55"/>
  <c r="BB19" i="55"/>
  <c r="BB17" i="55"/>
  <c r="BB5" i="55"/>
  <c r="BB33" i="55"/>
  <c r="BB12" i="55"/>
  <c r="BC22" i="55"/>
  <c r="BF25" i="55"/>
  <c r="BC7" i="55"/>
  <c r="BC27" i="55"/>
  <c r="BE11" i="55"/>
  <c r="BD12" i="55"/>
  <c r="BB18" i="55"/>
  <c r="BD15" i="55"/>
  <c r="BD13" i="55"/>
  <c r="BD25" i="55"/>
  <c r="BF17" i="55"/>
  <c r="BC33" i="55"/>
  <c r="BF21" i="55"/>
  <c r="BD21" i="55"/>
  <c r="BE21" i="55"/>
  <c r="BC25" i="55"/>
  <c r="BB11" i="55"/>
  <c r="BE25" i="55"/>
  <c r="BD11" i="55"/>
  <c r="BF11" i="55"/>
  <c r="BF41" i="55"/>
  <c r="BE22" i="55"/>
  <c r="BF22" i="55"/>
  <c r="BD22" i="55"/>
  <c r="BE8" i="55"/>
  <c r="BF24" i="55"/>
  <c r="BB24" i="55"/>
  <c r="BD26" i="55"/>
  <c r="BE24" i="55"/>
  <c r="BD24" i="55"/>
  <c r="BE33" i="55"/>
  <c r="BD10" i="55"/>
  <c r="BF33" i="55"/>
  <c r="BF6" i="55"/>
  <c r="BE10" i="55"/>
  <c r="BC10" i="55"/>
  <c r="BE20" i="55"/>
  <c r="BD20" i="55"/>
  <c r="BC20" i="55"/>
  <c r="BE6" i="55"/>
  <c r="BE7" i="55"/>
  <c r="BD6" i="55"/>
  <c r="BD18" i="55"/>
  <c r="BD7" i="55"/>
  <c r="BB6" i="55"/>
  <c r="BF7" i="55"/>
  <c r="BD5" i="55"/>
  <c r="BE19" i="55"/>
  <c r="BD27" i="55"/>
  <c r="BF18" i="55"/>
  <c r="BE5" i="55"/>
  <c r="BE18" i="55"/>
  <c r="BE12" i="55"/>
  <c r="BD14" i="55"/>
  <c r="BC13" i="55"/>
  <c r="BF13" i="55"/>
  <c r="BF14" i="55"/>
  <c r="BC26" i="55"/>
  <c r="BE13" i="55"/>
  <c r="BD8" i="55"/>
  <c r="BE26" i="55"/>
  <c r="BD49" i="55"/>
  <c r="BC12" i="55"/>
  <c r="BD19" i="55"/>
  <c r="BC16" i="55"/>
  <c r="BE16" i="55"/>
  <c r="BC14" i="55"/>
  <c r="BD17" i="55"/>
  <c r="BE17" i="55"/>
  <c r="BF8" i="55"/>
  <c r="BD16" i="55"/>
  <c r="BC17" i="55"/>
  <c r="BC8" i="55"/>
  <c r="BB14" i="55"/>
  <c r="BD9" i="55"/>
  <c r="BC15" i="55"/>
  <c r="BE14" i="55"/>
  <c r="BF27" i="55"/>
  <c r="BE9" i="55"/>
  <c r="BE27" i="55"/>
  <c r="BF15" i="55"/>
  <c r="BC9" i="55"/>
  <c r="BB27" i="55"/>
  <c r="BE15" i="55"/>
  <c r="BD55" i="55"/>
  <c r="BF5" i="55"/>
  <c r="BF19" i="55"/>
  <c r="BF26" i="55"/>
  <c r="BC41" i="55"/>
  <c r="BB49" i="55"/>
  <c r="BC49" i="55"/>
  <c r="BB55" i="55"/>
  <c r="BE55" i="55"/>
  <c r="BF55" i="55"/>
  <c r="BC55" i="55"/>
  <c r="BF49" i="55"/>
  <c r="BC30" i="55"/>
  <c r="BE30" i="55"/>
  <c r="BE41" i="55"/>
  <c r="BB41" i="55"/>
  <c r="BC57" i="55"/>
  <c r="BF51" i="55"/>
  <c r="BD30" i="55"/>
  <c r="BB30" i="55"/>
  <c r="BF35" i="55"/>
  <c r="BD53" i="55"/>
  <c r="BC48" i="55"/>
  <c r="BD56" i="55"/>
  <c r="BD44" i="55"/>
  <c r="BD31" i="55"/>
  <c r="BF30" i="55"/>
  <c r="BB52" i="55"/>
  <c r="BE44" i="55"/>
  <c r="BB44" i="55"/>
  <c r="BC44" i="55"/>
  <c r="BD38" i="55"/>
  <c r="BC38" i="55"/>
  <c r="BB38" i="55"/>
  <c r="BE38" i="55"/>
  <c r="BC47" i="55"/>
  <c r="BC31" i="55"/>
  <c r="BD40" i="55"/>
  <c r="BF31" i="55"/>
  <c r="BF45" i="55"/>
  <c r="BB31" i="55"/>
  <c r="BE31" i="55"/>
  <c r="BE47" i="55"/>
  <c r="BC56" i="55"/>
  <c r="BB35" i="55"/>
  <c r="BF56" i="55"/>
  <c r="BB56" i="55"/>
  <c r="BD35" i="55"/>
  <c r="BE35" i="55"/>
  <c r="BF40" i="55"/>
  <c r="BE56" i="55"/>
  <c r="BB57" i="55"/>
  <c r="BC40" i="55"/>
  <c r="BB47" i="55"/>
  <c r="BD45" i="55"/>
  <c r="BC35" i="55"/>
  <c r="BE36" i="55"/>
  <c r="BC37" i="55"/>
  <c r="BB45" i="55"/>
  <c r="BD29" i="55"/>
  <c r="BD47" i="55"/>
  <c r="BE45" i="55"/>
  <c r="BB37" i="55"/>
  <c r="BE37" i="55"/>
  <c r="BF57" i="55"/>
  <c r="BC36" i="55"/>
  <c r="BF37" i="55"/>
  <c r="BB43" i="55"/>
  <c r="BD43" i="55"/>
  <c r="BB40" i="55"/>
  <c r="BF43" i="55"/>
  <c r="BE43" i="55"/>
  <c r="BE40" i="55"/>
  <c r="BC45" i="55"/>
  <c r="BD50" i="55"/>
  <c r="BF36" i="55"/>
  <c r="BD42" i="55"/>
  <c r="BC42" i="55"/>
  <c r="BB50" i="55"/>
  <c r="BC29" i="55"/>
  <c r="BE42" i="55"/>
  <c r="BB42" i="55"/>
  <c r="BE51" i="55"/>
  <c r="BE50" i="55"/>
  <c r="BD57" i="55"/>
  <c r="BE52" i="55"/>
  <c r="BE57" i="55"/>
  <c r="BD52" i="55"/>
  <c r="BF52" i="55"/>
  <c r="BC52" i="55"/>
  <c r="BD51" i="55"/>
  <c r="BB51" i="55"/>
  <c r="BF48" i="55"/>
  <c r="BB48" i="55"/>
  <c r="BE29" i="55"/>
  <c r="BD48" i="55"/>
  <c r="BF29" i="55"/>
  <c r="BC51" i="55"/>
  <c r="BE48" i="55"/>
  <c r="BD36" i="55"/>
  <c r="BD32" i="55"/>
  <c r="BB36" i="55"/>
  <c r="BB29" i="55"/>
  <c r="BB32" i="55"/>
  <c r="BF32" i="55"/>
  <c r="BE32" i="55"/>
  <c r="BE53" i="55"/>
  <c r="BC53" i="55"/>
  <c r="BB39" i="55"/>
  <c r="BC39" i="55"/>
  <c r="BD39" i="55"/>
  <c r="BE39" i="55"/>
  <c r="BF39" i="55"/>
  <c r="BF53" i="55"/>
  <c r="BB53" i="55"/>
  <c r="BC50" i="55"/>
  <c r="T7" i="44" l="1"/>
  <c r="T6" i="44"/>
  <c r="U6" i="44" s="1"/>
  <c r="G3" i="43"/>
  <c r="G5" i="43" s="1"/>
  <c r="K3" i="43"/>
  <c r="K5" i="43" s="1"/>
  <c r="I3" i="43"/>
  <c r="I5" i="43" s="1"/>
  <c r="C3" i="43"/>
  <c r="C5" i="43" s="1"/>
  <c r="H3" i="43"/>
  <c r="H5" i="43" s="1"/>
  <c r="E3" i="43"/>
  <c r="E5" i="43" s="1"/>
  <c r="L3" i="43"/>
  <c r="L5" i="43" s="1"/>
  <c r="B3" i="43"/>
  <c r="B5" i="43" s="1"/>
  <c r="D3" i="43"/>
  <c r="D5" i="43" s="1"/>
  <c r="J3" i="43"/>
  <c r="J5" i="43" s="1"/>
  <c r="F3" i="43"/>
  <c r="F5" i="43" s="1"/>
  <c r="I16" i="44"/>
  <c r="I11" i="44"/>
  <c r="I7" i="44"/>
  <c r="I10" i="44"/>
  <c r="I13" i="44"/>
  <c r="I12" i="44"/>
  <c r="I15" i="44"/>
  <c r="I8" i="44"/>
  <c r="I14" i="44"/>
  <c r="I6" i="44"/>
  <c r="I9" i="44"/>
</calcChain>
</file>

<file path=xl/sharedStrings.xml><?xml version="1.0" encoding="utf-8"?>
<sst xmlns="http://schemas.openxmlformats.org/spreadsheetml/2006/main" count="669" uniqueCount="94">
  <si>
    <t>Draw</t>
  </si>
  <si>
    <t>Total</t>
  </si>
  <si>
    <t>Away</t>
  </si>
  <si>
    <t>Home</t>
  </si>
  <si>
    <t>Played</t>
  </si>
  <si>
    <t>Lost</t>
  </si>
  <si>
    <t>Team</t>
  </si>
  <si>
    <t>Win</t>
  </si>
  <si>
    <t>Points</t>
  </si>
  <si>
    <t>Scored</t>
  </si>
  <si>
    <t>Conceded</t>
  </si>
  <si>
    <t>T</t>
  </si>
  <si>
    <t>STRENGTHS</t>
  </si>
  <si>
    <t>H</t>
  </si>
  <si>
    <t>A</t>
  </si>
  <si>
    <t>ATTACKING</t>
  </si>
  <si>
    <t>SCORED</t>
  </si>
  <si>
    <t>CONCEDED</t>
  </si>
  <si>
    <t>DEFENDING</t>
  </si>
  <si>
    <t>HW</t>
  </si>
  <si>
    <t>D</t>
  </si>
  <si>
    <t>AW</t>
  </si>
  <si>
    <t>ISL 6</t>
  </si>
  <si>
    <t>Teams</t>
  </si>
  <si>
    <t>P</t>
  </si>
  <si>
    <t>W</t>
  </si>
  <si>
    <t>L</t>
  </si>
  <si>
    <t>S</t>
  </si>
  <si>
    <t>C</t>
  </si>
  <si>
    <t>HD</t>
  </si>
  <si>
    <t>AD</t>
  </si>
  <si>
    <t>HL</t>
  </si>
  <si>
    <t>AL</t>
  </si>
  <si>
    <t>HATT</t>
  </si>
  <si>
    <t>HDEF</t>
  </si>
  <si>
    <t>AATT</t>
  </si>
  <si>
    <t>ADEF</t>
  </si>
  <si>
    <t>SD</t>
  </si>
  <si>
    <t>ISL TOTAL</t>
  </si>
  <si>
    <t>ISL 5</t>
  </si>
  <si>
    <t>ISL 4</t>
  </si>
  <si>
    <t>Date</t>
  </si>
  <si>
    <t>Match #</t>
  </si>
  <si>
    <t>Goals</t>
  </si>
  <si>
    <t>Avg. ST A</t>
  </si>
  <si>
    <t>Avg. ST H</t>
  </si>
  <si>
    <t>MAX H</t>
  </si>
  <si>
    <t>MAX A</t>
  </si>
  <si>
    <t>ATT</t>
  </si>
  <si>
    <t>DEF</t>
  </si>
  <si>
    <t>RESULT</t>
  </si>
  <si>
    <t>S/F 1</t>
  </si>
  <si>
    <t>S/F 2</t>
  </si>
  <si>
    <t>S/F 3</t>
  </si>
  <si>
    <t>S/F 4</t>
  </si>
  <si>
    <t>FINAL</t>
  </si>
  <si>
    <t>Result H</t>
  </si>
  <si>
    <t>Result A</t>
  </si>
  <si>
    <t>Points H</t>
  </si>
  <si>
    <t>Points A</t>
  </si>
  <si>
    <t>ISL Winner</t>
  </si>
  <si>
    <t>Total Points -&gt;</t>
  </si>
  <si>
    <t>GD</t>
  </si>
  <si>
    <t>Margin</t>
  </si>
  <si>
    <t>Margin -&gt;</t>
  </si>
  <si>
    <t>Old</t>
  </si>
  <si>
    <t>New</t>
  </si>
  <si>
    <t>Array</t>
  </si>
  <si>
    <t>Sim Goals H</t>
  </si>
  <si>
    <t>Sim Goals A</t>
  </si>
  <si>
    <t>ACL</t>
  </si>
  <si>
    <t>SIM</t>
  </si>
  <si>
    <t>Average -&gt;</t>
  </si>
  <si>
    <t>Play-off</t>
  </si>
  <si>
    <t>Relegation</t>
  </si>
  <si>
    <t>ISL 7</t>
  </si>
  <si>
    <t>ATK-MB</t>
  </si>
  <si>
    <t>East Bengal</t>
  </si>
  <si>
    <t>Kerala Blasters</t>
  </si>
  <si>
    <t>NorthEast United</t>
  </si>
  <si>
    <t>Goa</t>
  </si>
  <si>
    <t>Odisha</t>
  </si>
  <si>
    <t>Jamshedpur</t>
  </si>
  <si>
    <t>Bengaluru</t>
  </si>
  <si>
    <t>Chennaiyin</t>
  </si>
  <si>
    <t>Hyderabad</t>
  </si>
  <si>
    <t>Mumbai City</t>
  </si>
  <si>
    <t xml:space="preserve">Points </t>
  </si>
  <si>
    <t>Semis</t>
  </si>
  <si>
    <t>Finals</t>
  </si>
  <si>
    <t>ACTUAL</t>
  </si>
  <si>
    <t>RATING</t>
  </si>
  <si>
    <t>Weights</t>
  </si>
  <si>
    <t>ISL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</si>
</sst>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</font>
    <font>
      <i/>
      <u/>
      <sz val="12"/>
      <color theme="1"/>
      <name val="Calibri"/>
      <family val="2"/>
      <scheme val="minor"/>
    </font>
    <font>
      <i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08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9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9" fontId="3" fillId="0" borderId="9" xfId="0" applyNumberFormat="1" applyFon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/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3" fillId="0" borderId="0" xfId="0" applyNumberFormat="1" applyFont="1" applyAlignment="1">
      <alignment vertical="center"/>
    </xf>
    <xf numFmtId="2" fontId="0" fillId="0" borderId="0" xfId="0" applyNumberFormat="1" applyAlignment="1">
      <alignment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0" fontId="0" fillId="0" borderId="0" xfId="0" applyBorder="1"/>
    <xf numFmtId="2" fontId="0" fillId="0" borderId="0" xfId="0" applyNumberFormat="1" applyBorder="1"/>
    <xf numFmtId="0" fontId="0" fillId="0" borderId="5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9" fontId="0" fillId="0" borderId="0" xfId="107" applyFont="1" applyAlignment="1">
      <alignment horizontal="center" vertical="center"/>
    </xf>
    <xf numFmtId="2" fontId="0" fillId="0" borderId="0" xfId="107" applyNumberFormat="1" applyFont="1" applyAlignment="1">
      <alignment horizontal="center" vertical="center"/>
    </xf>
    <xf numFmtId="0" fontId="0" fillId="0" borderId="0" xfId="107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2" fontId="3" fillId="0" borderId="0" xfId="107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NumberFormat="1" applyBorder="1"/>
    <xf numFmtId="0" fontId="0" fillId="2" borderId="0" xfId="0" applyFill="1" applyBorder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vertical="center"/>
    </xf>
    <xf numFmtId="1" fontId="0" fillId="0" borderId="0" xfId="0" applyNumberFormat="1"/>
    <xf numFmtId="0" fontId="3" fillId="0" borderId="0" xfId="0" applyFont="1" applyBorder="1"/>
    <xf numFmtId="0" fontId="3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NumberFormat="1" applyFont="1" applyFill="1" applyBorder="1"/>
    <xf numFmtId="0" fontId="0" fillId="0" borderId="0" xfId="0" applyNumberFormat="1" applyFill="1" applyBorder="1"/>
    <xf numFmtId="14" fontId="3" fillId="0" borderId="0" xfId="0" applyNumberFormat="1" applyFont="1" applyBorder="1"/>
    <xf numFmtId="9" fontId="0" fillId="0" borderId="0" xfId="1" applyFont="1" applyBorder="1"/>
    <xf numFmtId="9" fontId="0" fillId="0" borderId="0" xfId="0" applyNumberFormat="1" applyBorder="1"/>
    <xf numFmtId="0" fontId="0" fillId="0" borderId="0" xfId="0" applyFill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quotePrefix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2" fontId="0" fillId="0" borderId="0" xfId="0" applyNumberFormat="1" applyBorder="1" applyAlignment="1">
      <alignment vertical="center"/>
    </xf>
    <xf numFmtId="9" fontId="0" fillId="0" borderId="0" xfId="1" applyFont="1" applyBorder="1" applyAlignment="1">
      <alignment vertical="center"/>
    </xf>
    <xf numFmtId="1" fontId="0" fillId="0" borderId="0" xfId="1" applyNumberFormat="1" applyFont="1" applyBorder="1" applyAlignment="1">
      <alignment vertical="center"/>
    </xf>
    <xf numFmtId="0" fontId="0" fillId="0" borderId="0" xfId="0" applyNumberFormat="1" applyBorder="1" applyAlignment="1">
      <alignment vertical="center"/>
    </xf>
    <xf numFmtId="9" fontId="6" fillId="0" borderId="0" xfId="1" applyFont="1" applyBorder="1" applyAlignment="1">
      <alignment vertical="center"/>
    </xf>
    <xf numFmtId="1" fontId="0" fillId="0" borderId="0" xfId="0" applyNumberFormat="1" applyAlignment="1">
      <alignment vertical="center"/>
    </xf>
    <xf numFmtId="9" fontId="1" fillId="0" borderId="0" xfId="1" applyFont="1" applyBorder="1" applyAlignment="1">
      <alignment vertical="center"/>
    </xf>
    <xf numFmtId="1" fontId="0" fillId="0" borderId="0" xfId="0" applyNumberForma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9" fontId="0" fillId="0" borderId="0" xfId="0" applyNumberFormat="1" applyAlignment="1">
      <alignment vertical="center"/>
    </xf>
    <xf numFmtId="16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2" fontId="0" fillId="0" borderId="0" xfId="0" applyNumberFormat="1" applyFont="1" applyAlignment="1">
      <alignment vertical="center"/>
    </xf>
    <xf numFmtId="0" fontId="0" fillId="0" borderId="0" xfId="0" applyFont="1" applyBorder="1" applyAlignment="1">
      <alignment vertical="center"/>
    </xf>
    <xf numFmtId="2" fontId="0" fillId="0" borderId="0" xfId="0" applyNumberFormat="1" applyFont="1" applyBorder="1" applyAlignment="1">
      <alignment vertical="center"/>
    </xf>
    <xf numFmtId="0" fontId="0" fillId="0" borderId="2" xfId="0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2" fontId="0" fillId="0" borderId="2" xfId="0" applyNumberFormat="1" applyFont="1" applyBorder="1" applyAlignment="1">
      <alignment horizontal="center" vertical="center"/>
    </xf>
    <xf numFmtId="2" fontId="0" fillId="0" borderId="3" xfId="0" applyNumberFormat="1" applyFont="1" applyBorder="1" applyAlignment="1">
      <alignment horizontal="center" vertical="center"/>
    </xf>
    <xf numFmtId="1" fontId="0" fillId="0" borderId="8" xfId="0" applyNumberFormat="1" applyFont="1" applyBorder="1" applyAlignment="1">
      <alignment horizontal="center" vertical="center"/>
    </xf>
    <xf numFmtId="0" fontId="7" fillId="0" borderId="0" xfId="0" quotePrefix="1" applyFont="1" applyFill="1" applyAlignment="1">
      <alignment horizontal="center" vertical="center"/>
    </xf>
    <xf numFmtId="0" fontId="0" fillId="0" borderId="5" xfId="0" applyBorder="1" applyAlignment="1">
      <alignment vertical="center"/>
    </xf>
    <xf numFmtId="9" fontId="6" fillId="0" borderId="5" xfId="1" applyFont="1" applyBorder="1" applyAlignment="1">
      <alignment vertical="center"/>
    </xf>
    <xf numFmtId="2" fontId="0" fillId="0" borderId="0" xfId="0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" fontId="0" fillId="0" borderId="0" xfId="1" applyNumberFormat="1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1" fontId="0" fillId="0" borderId="5" xfId="1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1" fontId="0" fillId="0" borderId="2" xfId="1" applyNumberFormat="1" applyFon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9" fontId="0" fillId="0" borderId="0" xfId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</cellXfs>
  <cellStyles count="10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4" builtinId="9" hidden="1"/>
    <cellStyle name="Followed Hyperlink" xfId="106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3" builtinId="8" hidden="1"/>
    <cellStyle name="Hyperlink" xfId="105" builtinId="8" hidden="1"/>
    <cellStyle name="Normal" xfId="0" builtinId="0"/>
    <cellStyle name="Per cent" xfId="1" builtinId="5"/>
    <cellStyle name="Per cent 2" xfId="107" xr:uid="{6AE8F406-DD5E-E04C-A264-076A52B862D2}"/>
    <cellStyle name="Percent 2" xfId="102" xr:uid="{00000000-0005-0000-0000-00006A000000}"/>
  </cellStyles>
  <dxfs count="1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2" tint="-0.499984740745262"/>
        </patternFill>
      </fill>
    </dxf>
    <dxf>
      <font>
        <strike val="0"/>
        <color theme="0"/>
      </font>
      <fill>
        <patternFill>
          <bgColor theme="2" tint="-0.49998474074526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strike val="0"/>
        <color theme="0"/>
      </font>
      <fill>
        <patternFill>
          <bgColor theme="2" tint="-0.499984740745262"/>
        </patternFill>
      </fill>
    </dxf>
    <dxf>
      <font>
        <strike val="0"/>
        <color theme="0"/>
      </font>
      <fill>
        <patternFill>
          <bgColor theme="2" tint="-0.499984740745262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2</xdr:row>
          <xdr:rowOff>0</xdr:rowOff>
        </xdr:from>
        <xdr:to>
          <xdr:col>2</xdr:col>
          <xdr:colOff>304800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27</xdr:row>
          <xdr:rowOff>63500</xdr:rowOff>
        </xdr:from>
        <xdr:to>
          <xdr:col>4</xdr:col>
          <xdr:colOff>127000</xdr:colOff>
          <xdr:row>29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Unhide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787400</xdr:colOff>
          <xdr:row>29</xdr:row>
          <xdr:rowOff>152400</xdr:rowOff>
        </xdr:from>
        <xdr:to>
          <xdr:col>4</xdr:col>
          <xdr:colOff>114300</xdr:colOff>
          <xdr:row>31</xdr:row>
          <xdr:rowOff>127000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Hide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63C5-66FC-2646-A9EF-B3802E0AD128}">
  <sheetPr codeName="Sheet1">
    <tabColor theme="2" tint="-0.89999084444715716"/>
  </sheetPr>
  <dimension ref="B1:AP118"/>
  <sheetViews>
    <sheetView showGridLines="0" topLeftCell="A63" zoomScaleNormal="100" workbookViewId="0">
      <selection activeCell="E80" sqref="E80"/>
    </sheetView>
  </sheetViews>
  <sheetFormatPr baseColWidth="10" defaultColWidth="11" defaultRowHeight="16" outlineLevelCol="1" x14ac:dyDescent="0.2"/>
  <cols>
    <col min="1" max="1" width="5.83203125" style="21" customWidth="1"/>
    <col min="2" max="2" width="9.5" style="21" bestFit="1" customWidth="1"/>
    <col min="3" max="3" width="6.1640625" style="21" bestFit="1" customWidth="1"/>
    <col min="4" max="4" width="18.33203125" style="21" bestFit="1" customWidth="1"/>
    <col min="5" max="5" width="6.5" style="21" customWidth="1"/>
    <col min="6" max="6" width="5.83203125" style="21" customWidth="1"/>
    <col min="7" max="7" width="18.33203125" style="21" bestFit="1" customWidth="1"/>
    <col min="8" max="8" width="11" style="21" customWidth="1"/>
    <col min="9" max="10" width="2.1640625" style="21" bestFit="1" customWidth="1"/>
    <col min="11" max="11" width="4.5" style="21" hidden="1" customWidth="1"/>
    <col min="12" max="12" width="4.1640625" style="21" hidden="1" customWidth="1"/>
    <col min="13" max="13" width="28.1640625" style="21" hidden="1" customWidth="1"/>
    <col min="14" max="14" width="6.1640625" style="21" customWidth="1"/>
    <col min="15" max="15" width="11" style="21"/>
    <col min="16" max="16" width="18.33203125" style="21" bestFit="1" customWidth="1"/>
    <col min="17" max="18" width="2.5" style="21" hidden="1" customWidth="1" outlineLevel="1"/>
    <col min="19" max="20" width="4.5" style="21" hidden="1" customWidth="1" outlineLevel="1"/>
    <col min="21" max="22" width="3.83203125" style="21" hidden="1" customWidth="1" outlineLevel="1"/>
    <col min="23" max="28" width="3.5" style="21" hidden="1" customWidth="1" outlineLevel="1"/>
    <col min="29" max="29" width="5.6640625" style="21" bestFit="1" customWidth="1" collapsed="1"/>
    <col min="30" max="32" width="3.5" style="21" bestFit="1" customWidth="1"/>
    <col min="33" max="34" width="4.1640625" style="21" bestFit="1" customWidth="1"/>
    <col min="35" max="35" width="4" style="21" bestFit="1" customWidth="1"/>
    <col min="36" max="36" width="6.6640625" style="21" bestFit="1" customWidth="1"/>
    <col min="37" max="39" width="11" style="21"/>
    <col min="40" max="40" width="18.33203125" style="21" bestFit="1" customWidth="1"/>
    <col min="41" max="41" width="9" style="21" bestFit="1" customWidth="1"/>
    <col min="42" max="16384" width="11" style="21"/>
  </cols>
  <sheetData>
    <row r="1" spans="2:42" x14ac:dyDescent="0.2">
      <c r="E1" s="187">
        <f ca="1">TODAY()-1</f>
        <v>44594</v>
      </c>
      <c r="F1" s="187"/>
    </row>
    <row r="2" spans="2:42" x14ac:dyDescent="0.2">
      <c r="D2" s="44"/>
      <c r="E2" s="188" t="s">
        <v>43</v>
      </c>
      <c r="F2" s="188"/>
      <c r="G2" s="44"/>
      <c r="H2" s="44"/>
      <c r="I2" s="160"/>
      <c r="J2" s="160"/>
      <c r="K2" s="44"/>
      <c r="L2" s="44"/>
      <c r="M2" s="44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</row>
    <row r="3" spans="2:42" x14ac:dyDescent="0.2">
      <c r="C3" s="56"/>
      <c r="D3" s="23"/>
      <c r="E3" s="44" t="s">
        <v>3</v>
      </c>
      <c r="F3" s="44" t="s">
        <v>2</v>
      </c>
      <c r="G3" s="23"/>
      <c r="H3" s="44"/>
      <c r="I3" s="160"/>
      <c r="J3" s="160"/>
      <c r="K3" s="189" t="s">
        <v>50</v>
      </c>
      <c r="L3" s="189"/>
      <c r="M3" s="44"/>
      <c r="N3" s="160"/>
      <c r="Q3" s="186" t="s">
        <v>4</v>
      </c>
      <c r="R3" s="186"/>
      <c r="S3" s="186" t="s">
        <v>7</v>
      </c>
      <c r="T3" s="186"/>
      <c r="U3" s="186" t="s">
        <v>0</v>
      </c>
      <c r="V3" s="186"/>
      <c r="W3" s="186" t="s">
        <v>5</v>
      </c>
      <c r="X3" s="186"/>
      <c r="Y3" s="186" t="s">
        <v>9</v>
      </c>
      <c r="Z3" s="186"/>
      <c r="AA3" s="186" t="s">
        <v>10</v>
      </c>
      <c r="AB3" s="186"/>
      <c r="AC3" s="45"/>
      <c r="AD3" s="45"/>
      <c r="AE3" s="45"/>
      <c r="AF3" s="45"/>
      <c r="AG3" s="45"/>
      <c r="AH3" s="45"/>
      <c r="AN3" s="70"/>
      <c r="AO3" s="70"/>
      <c r="AP3" s="70"/>
    </row>
    <row r="4" spans="2:42" ht="16" customHeight="1" x14ac:dyDescent="0.2">
      <c r="B4" s="103">
        <v>44519</v>
      </c>
      <c r="C4" s="21">
        <v>1</v>
      </c>
      <c r="D4" s="58" t="s">
        <v>76</v>
      </c>
      <c r="E4" s="140">
        <v>4</v>
      </c>
      <c r="F4" s="140">
        <v>2</v>
      </c>
      <c r="G4" s="58" t="s">
        <v>78</v>
      </c>
      <c r="H4" s="58"/>
      <c r="I4" s="58"/>
      <c r="J4" s="58"/>
      <c r="K4" s="58" t="str">
        <f t="shared" ref="K4:K35" si="0">IF(COUNT(E4),IF(E4&gt;F4,"HW",IF(E4=F4,"HD","HL")),"")</f>
        <v>HW</v>
      </c>
      <c r="L4" s="58" t="str">
        <f t="shared" ref="L4:L35" si="1">IF(COUNT(F4),IF(F4&gt;E4,"AW",IF(F4=E4,"AD","AL")),"")</f>
        <v>AL</v>
      </c>
      <c r="M4" s="60" t="str">
        <f t="shared" ref="M4:M35" si="2">D4&amp;G4</f>
        <v>ATK-MBKerala Blasters</v>
      </c>
      <c r="N4" s="61"/>
      <c r="P4" s="162" t="s">
        <v>6</v>
      </c>
      <c r="Q4" s="163" t="s">
        <v>13</v>
      </c>
      <c r="R4" s="164" t="s">
        <v>14</v>
      </c>
      <c r="S4" s="163" t="s">
        <v>19</v>
      </c>
      <c r="T4" s="164" t="s">
        <v>21</v>
      </c>
      <c r="U4" s="163" t="s">
        <v>29</v>
      </c>
      <c r="V4" s="164" t="s">
        <v>30</v>
      </c>
      <c r="W4" s="163" t="s">
        <v>31</v>
      </c>
      <c r="X4" s="165" t="s">
        <v>32</v>
      </c>
      <c r="Y4" s="163" t="s">
        <v>13</v>
      </c>
      <c r="Z4" s="164" t="s">
        <v>14</v>
      </c>
      <c r="AA4" s="163" t="s">
        <v>13</v>
      </c>
      <c r="AB4" s="165" t="s">
        <v>14</v>
      </c>
      <c r="AC4" s="162" t="s">
        <v>24</v>
      </c>
      <c r="AD4" s="165" t="s">
        <v>25</v>
      </c>
      <c r="AE4" s="165" t="s">
        <v>20</v>
      </c>
      <c r="AF4" s="165" t="s">
        <v>26</v>
      </c>
      <c r="AG4" s="163" t="s">
        <v>27</v>
      </c>
      <c r="AH4" s="165" t="s">
        <v>28</v>
      </c>
      <c r="AI4" s="162" t="s">
        <v>20</v>
      </c>
      <c r="AJ4" s="162" t="s">
        <v>8</v>
      </c>
      <c r="AM4" s="75"/>
      <c r="AN4" s="76"/>
      <c r="AO4" s="71"/>
      <c r="AP4" s="70"/>
    </row>
    <row r="5" spans="2:42" x14ac:dyDescent="0.2">
      <c r="B5" s="103">
        <v>44520</v>
      </c>
      <c r="C5" s="21">
        <v>2</v>
      </c>
      <c r="D5" s="58" t="s">
        <v>83</v>
      </c>
      <c r="E5" s="140">
        <v>4</v>
      </c>
      <c r="F5" s="140">
        <v>2</v>
      </c>
      <c r="G5" s="58" t="s">
        <v>79</v>
      </c>
      <c r="H5" s="58"/>
      <c r="I5" s="58"/>
      <c r="J5" s="58"/>
      <c r="K5" s="58" t="str">
        <f t="shared" si="0"/>
        <v>HW</v>
      </c>
      <c r="L5" s="58" t="str">
        <f t="shared" si="1"/>
        <v>AL</v>
      </c>
      <c r="M5" s="60" t="str">
        <f t="shared" si="2"/>
        <v>BengaluruNorthEast United</v>
      </c>
      <c r="N5" s="61"/>
      <c r="P5" s="16" t="s">
        <v>76</v>
      </c>
      <c r="Q5" s="10">
        <f t="shared" ref="Q5:Q16" si="3">COUNTIFS($D$4:$D$113,P5,$E$4:$E$113,"&lt;&gt;")</f>
        <v>7</v>
      </c>
      <c r="R5" s="46">
        <f t="shared" ref="R5:R16" si="4">COUNTIFS($G$4:$G$113,P5,$F$4:$F$113,"&lt;&gt;")</f>
        <v>5</v>
      </c>
      <c r="S5" s="25">
        <f t="shared" ref="S5:S16" si="5">COUNTIFS($D$4:$D$113,P5,$K$4:$K$113,$S$4)</f>
        <v>3</v>
      </c>
      <c r="T5" s="26">
        <f t="shared" ref="T5:T16" si="6">COUNTIFS($G$4:$G$113,P5,$L$4:$L$113,$T$4)</f>
        <v>2</v>
      </c>
      <c r="U5" s="25">
        <f t="shared" ref="U5:U16" si="7">COUNTIFS($D$4:$D$113,P5,$K$4:$K$113,$U$4)</f>
        <v>3</v>
      </c>
      <c r="V5" s="26">
        <f t="shared" ref="V5:V16" si="8">COUNTIFS($G$4:$G$113,P5,$L$4:$L$113,$V$4)</f>
        <v>2</v>
      </c>
      <c r="W5" s="25">
        <f t="shared" ref="W5:W16" si="9">COUNTIFS($D$4:$D$113,P5,$K$4:$K$113,$W$4)</f>
        <v>1</v>
      </c>
      <c r="X5" s="27">
        <f t="shared" ref="X5:X16" si="10">COUNTIFS($G$4:$G$113,P5,$L$4:$L$113,$X$4)</f>
        <v>1</v>
      </c>
      <c r="Y5" s="25">
        <f t="shared" ref="Y5:Y15" si="11">SUMIF($D$4:$D$113,P5,$E$4:$E$113)</f>
        <v>13</v>
      </c>
      <c r="Z5" s="26">
        <f t="shared" ref="Z5:Z15" si="12">SUMIF($G$4:$G$113,P5,$F$4:$F$113)</f>
        <v>11</v>
      </c>
      <c r="AA5" s="25">
        <f t="shared" ref="AA5:AA15" si="13">SUMIF($D$4:$D$113,P5,$F$4:$F$113)</f>
        <v>12</v>
      </c>
      <c r="AB5" s="26">
        <f t="shared" ref="AB5:AB15" si="14">SUMIF($G$4:$G$113,P5,$E$4:$E$113)</f>
        <v>8</v>
      </c>
      <c r="AC5" s="16">
        <f>Q5+R5</f>
        <v>12</v>
      </c>
      <c r="AD5" s="27">
        <f>S5+T5</f>
        <v>5</v>
      </c>
      <c r="AE5" s="27">
        <f>U5+V5</f>
        <v>5</v>
      </c>
      <c r="AF5" s="27">
        <f>W5+X5</f>
        <v>2</v>
      </c>
      <c r="AG5" s="25">
        <f>Y5+Z5</f>
        <v>24</v>
      </c>
      <c r="AH5" s="27">
        <f>AA5+AB5</f>
        <v>20</v>
      </c>
      <c r="AI5" s="27">
        <f>AG5-AH5</f>
        <v>4</v>
      </c>
      <c r="AJ5" s="34">
        <f>(AD5*3)+(AE5*1)</f>
        <v>20</v>
      </c>
      <c r="AL5" s="44"/>
      <c r="AM5" s="75"/>
      <c r="AP5" s="70"/>
    </row>
    <row r="6" spans="2:42" ht="16" customHeight="1" x14ac:dyDescent="0.2">
      <c r="B6" s="103">
        <v>44521</v>
      </c>
      <c r="C6" s="21">
        <v>3</v>
      </c>
      <c r="D6" s="58" t="s">
        <v>77</v>
      </c>
      <c r="E6" s="124">
        <v>1</v>
      </c>
      <c r="F6" s="124">
        <v>1</v>
      </c>
      <c r="G6" s="58" t="s">
        <v>82</v>
      </c>
      <c r="H6" s="58"/>
      <c r="I6" s="58"/>
      <c r="J6" s="58"/>
      <c r="K6" s="58" t="str">
        <f t="shared" si="0"/>
        <v>HD</v>
      </c>
      <c r="L6" s="58" t="str">
        <f t="shared" si="1"/>
        <v>AD</v>
      </c>
      <c r="M6" s="60" t="str">
        <f t="shared" si="2"/>
        <v>East BengalJamshedpur</v>
      </c>
      <c r="N6" s="61"/>
      <c r="P6" s="136" t="s">
        <v>83</v>
      </c>
      <c r="Q6" s="132">
        <f t="shared" si="3"/>
        <v>7</v>
      </c>
      <c r="R6" s="104">
        <f t="shared" si="4"/>
        <v>7</v>
      </c>
      <c r="S6" s="133">
        <f t="shared" si="5"/>
        <v>2</v>
      </c>
      <c r="T6" s="134">
        <f t="shared" si="6"/>
        <v>3</v>
      </c>
      <c r="U6" s="133">
        <f t="shared" si="7"/>
        <v>4</v>
      </c>
      <c r="V6" s="134">
        <f t="shared" si="8"/>
        <v>1</v>
      </c>
      <c r="W6" s="133">
        <f t="shared" si="9"/>
        <v>1</v>
      </c>
      <c r="X6" s="135">
        <f t="shared" si="10"/>
        <v>3</v>
      </c>
      <c r="Y6" s="133">
        <f t="shared" si="11"/>
        <v>14</v>
      </c>
      <c r="Z6" s="134">
        <f t="shared" si="12"/>
        <v>10</v>
      </c>
      <c r="AA6" s="133">
        <f t="shared" si="13"/>
        <v>11</v>
      </c>
      <c r="AB6" s="134">
        <f t="shared" si="14"/>
        <v>8</v>
      </c>
      <c r="AC6" s="136">
        <f>Q6+R6</f>
        <v>14</v>
      </c>
      <c r="AD6" s="135">
        <f>S6+T6</f>
        <v>5</v>
      </c>
      <c r="AE6" s="135">
        <f>U6+V6</f>
        <v>5</v>
      </c>
      <c r="AF6" s="135">
        <f>W6+X6</f>
        <v>4</v>
      </c>
      <c r="AG6" s="133">
        <f>Y6+Z6</f>
        <v>24</v>
      </c>
      <c r="AH6" s="135">
        <f>AA6+AB6</f>
        <v>19</v>
      </c>
      <c r="AI6" s="135">
        <f>AG6-AH6</f>
        <v>5</v>
      </c>
      <c r="AJ6" s="139">
        <f>(AD6*3)+(AE6*1)</f>
        <v>20</v>
      </c>
      <c r="AL6" s="44"/>
      <c r="AM6" s="75"/>
      <c r="AP6" s="70"/>
    </row>
    <row r="7" spans="2:42" x14ac:dyDescent="0.2">
      <c r="B7" s="103">
        <v>44522</v>
      </c>
      <c r="C7" s="21">
        <v>4</v>
      </c>
      <c r="D7" s="58" t="s">
        <v>86</v>
      </c>
      <c r="E7" s="124">
        <v>3</v>
      </c>
      <c r="F7" s="124">
        <v>0</v>
      </c>
      <c r="G7" s="58" t="s">
        <v>80</v>
      </c>
      <c r="H7" s="58"/>
      <c r="I7" s="58"/>
      <c r="J7" s="58"/>
      <c r="K7" s="58" t="str">
        <f t="shared" si="0"/>
        <v>HW</v>
      </c>
      <c r="L7" s="58" t="str">
        <f t="shared" si="1"/>
        <v>AL</v>
      </c>
      <c r="M7" s="60" t="str">
        <f t="shared" si="2"/>
        <v>Mumbai CityGoa</v>
      </c>
      <c r="N7" s="61"/>
      <c r="P7" s="3" t="s">
        <v>84</v>
      </c>
      <c r="Q7" s="2">
        <f t="shared" si="3"/>
        <v>6</v>
      </c>
      <c r="R7" s="21">
        <f t="shared" si="4"/>
        <v>8</v>
      </c>
      <c r="S7" s="28">
        <f t="shared" si="5"/>
        <v>2</v>
      </c>
      <c r="T7" s="47">
        <f t="shared" si="6"/>
        <v>3</v>
      </c>
      <c r="U7" s="28">
        <f t="shared" si="7"/>
        <v>2</v>
      </c>
      <c r="V7" s="47">
        <f t="shared" si="8"/>
        <v>2</v>
      </c>
      <c r="W7" s="28">
        <f t="shared" si="9"/>
        <v>2</v>
      </c>
      <c r="X7" s="29">
        <f t="shared" si="10"/>
        <v>3</v>
      </c>
      <c r="Y7" s="28">
        <f t="shared" si="11"/>
        <v>7</v>
      </c>
      <c r="Z7" s="47">
        <f t="shared" si="12"/>
        <v>7</v>
      </c>
      <c r="AA7" s="28">
        <f t="shared" si="13"/>
        <v>10</v>
      </c>
      <c r="AB7" s="47">
        <f t="shared" si="14"/>
        <v>9</v>
      </c>
      <c r="AC7" s="3">
        <f>Q7+R7</f>
        <v>14</v>
      </c>
      <c r="AD7" s="29">
        <f>S7+T7</f>
        <v>5</v>
      </c>
      <c r="AE7" s="29">
        <f>U7+V7</f>
        <v>4</v>
      </c>
      <c r="AF7" s="29">
        <f>W7+X7</f>
        <v>5</v>
      </c>
      <c r="AG7" s="28">
        <f>Y7+Z7</f>
        <v>14</v>
      </c>
      <c r="AH7" s="29">
        <f>AA7+AB7</f>
        <v>19</v>
      </c>
      <c r="AI7" s="29">
        <f>AG7-AH7</f>
        <v>-5</v>
      </c>
      <c r="AJ7" s="34">
        <f>(AD7*3)+(AE7*1)</f>
        <v>19</v>
      </c>
      <c r="AL7" s="44"/>
      <c r="AM7" s="75"/>
      <c r="AP7" s="70"/>
    </row>
    <row r="8" spans="2:42" x14ac:dyDescent="0.2">
      <c r="B8" s="103">
        <v>44523</v>
      </c>
      <c r="C8" s="21">
        <v>5</v>
      </c>
      <c r="D8" s="58" t="s">
        <v>85</v>
      </c>
      <c r="E8" s="124">
        <v>0</v>
      </c>
      <c r="F8" s="124">
        <v>1</v>
      </c>
      <c r="G8" s="58" t="s">
        <v>84</v>
      </c>
      <c r="H8" s="58"/>
      <c r="I8" s="58"/>
      <c r="J8" s="58"/>
      <c r="K8" s="58" t="str">
        <f t="shared" si="0"/>
        <v>HL</v>
      </c>
      <c r="L8" s="58" t="str">
        <f t="shared" si="1"/>
        <v>AW</v>
      </c>
      <c r="M8" s="60" t="str">
        <f t="shared" si="2"/>
        <v>HyderabadChennaiyin</v>
      </c>
      <c r="N8" s="61"/>
      <c r="P8" s="3" t="s">
        <v>77</v>
      </c>
      <c r="Q8" s="2">
        <f t="shared" si="3"/>
        <v>7</v>
      </c>
      <c r="R8" s="21">
        <f t="shared" si="4"/>
        <v>8</v>
      </c>
      <c r="S8" s="28">
        <f t="shared" si="5"/>
        <v>0</v>
      </c>
      <c r="T8" s="47">
        <f t="shared" si="6"/>
        <v>1</v>
      </c>
      <c r="U8" s="28">
        <f t="shared" si="7"/>
        <v>4</v>
      </c>
      <c r="V8" s="47">
        <f t="shared" si="8"/>
        <v>3</v>
      </c>
      <c r="W8" s="28">
        <f t="shared" si="9"/>
        <v>3</v>
      </c>
      <c r="X8" s="29">
        <f t="shared" si="10"/>
        <v>4</v>
      </c>
      <c r="Y8" s="28">
        <f t="shared" si="11"/>
        <v>7</v>
      </c>
      <c r="Z8" s="47">
        <f t="shared" si="12"/>
        <v>9</v>
      </c>
      <c r="AA8" s="28">
        <f t="shared" si="13"/>
        <v>15</v>
      </c>
      <c r="AB8" s="47">
        <f t="shared" si="14"/>
        <v>15</v>
      </c>
      <c r="AC8" s="3">
        <f t="shared" ref="AC8" si="15">Q8+R8</f>
        <v>15</v>
      </c>
      <c r="AD8" s="29">
        <f t="shared" ref="AD8" si="16">S8+T8</f>
        <v>1</v>
      </c>
      <c r="AE8" s="29">
        <f t="shared" ref="AE8" si="17">U8+V8</f>
        <v>7</v>
      </c>
      <c r="AF8" s="29">
        <f t="shared" ref="AF8" si="18">W8+X8</f>
        <v>7</v>
      </c>
      <c r="AG8" s="28">
        <f t="shared" ref="AG8" si="19">Y8+Z8</f>
        <v>16</v>
      </c>
      <c r="AH8" s="29">
        <f t="shared" ref="AH8" si="20">AA8+AB8</f>
        <v>30</v>
      </c>
      <c r="AI8" s="29">
        <f t="shared" ref="AI8" si="21">AG8-AH8</f>
        <v>-14</v>
      </c>
      <c r="AJ8" s="34">
        <f t="shared" ref="AJ8" si="22">(AD8*3)+(AE8*1)</f>
        <v>10</v>
      </c>
      <c r="AL8" s="15"/>
      <c r="AM8" s="75"/>
      <c r="AN8" s="76"/>
      <c r="AO8" s="72"/>
      <c r="AP8" s="70"/>
    </row>
    <row r="9" spans="2:42" x14ac:dyDescent="0.2">
      <c r="B9" s="103">
        <v>44524</v>
      </c>
      <c r="C9" s="21">
        <v>6</v>
      </c>
      <c r="D9" s="58" t="s">
        <v>81</v>
      </c>
      <c r="E9" s="124">
        <v>3</v>
      </c>
      <c r="F9" s="124">
        <v>1</v>
      </c>
      <c r="G9" s="58" t="s">
        <v>83</v>
      </c>
      <c r="H9" s="58"/>
      <c r="I9" s="58"/>
      <c r="J9" s="58"/>
      <c r="K9" s="58" t="str">
        <f t="shared" si="0"/>
        <v>HW</v>
      </c>
      <c r="L9" s="58" t="str">
        <f t="shared" si="1"/>
        <v>AL</v>
      </c>
      <c r="M9" s="60" t="str">
        <f t="shared" si="2"/>
        <v>OdishaBengaluru</v>
      </c>
      <c r="N9" s="61"/>
      <c r="P9" s="3" t="s">
        <v>80</v>
      </c>
      <c r="Q9" s="2">
        <f t="shared" si="3"/>
        <v>7</v>
      </c>
      <c r="R9" s="21">
        <f t="shared" si="4"/>
        <v>8</v>
      </c>
      <c r="S9" s="28">
        <f t="shared" si="5"/>
        <v>2</v>
      </c>
      <c r="T9" s="47">
        <f t="shared" si="6"/>
        <v>1</v>
      </c>
      <c r="U9" s="28">
        <f t="shared" si="7"/>
        <v>3</v>
      </c>
      <c r="V9" s="47">
        <f t="shared" si="8"/>
        <v>3</v>
      </c>
      <c r="W9" s="28">
        <f t="shared" si="9"/>
        <v>2</v>
      </c>
      <c r="X9" s="29">
        <f t="shared" si="10"/>
        <v>4</v>
      </c>
      <c r="Y9" s="28">
        <f t="shared" si="11"/>
        <v>8</v>
      </c>
      <c r="Z9" s="47">
        <f t="shared" si="12"/>
        <v>10</v>
      </c>
      <c r="AA9" s="28">
        <f t="shared" si="13"/>
        <v>9</v>
      </c>
      <c r="AB9" s="47">
        <f t="shared" si="14"/>
        <v>15</v>
      </c>
      <c r="AC9" s="3">
        <f t="shared" ref="AC9:AC15" si="23">Q9+R9</f>
        <v>15</v>
      </c>
      <c r="AD9" s="29">
        <f t="shared" ref="AD9:AD15" si="24">S9+T9</f>
        <v>3</v>
      </c>
      <c r="AE9" s="29">
        <f t="shared" ref="AE9:AE15" si="25">U9+V9</f>
        <v>6</v>
      </c>
      <c r="AF9" s="29">
        <f t="shared" ref="AF9:AF15" si="26">W9+X9</f>
        <v>6</v>
      </c>
      <c r="AG9" s="28">
        <f t="shared" ref="AG9:AG15" si="27">Y9+Z9</f>
        <v>18</v>
      </c>
      <c r="AH9" s="29">
        <f t="shared" ref="AH9:AH15" si="28">AA9+AB9</f>
        <v>24</v>
      </c>
      <c r="AI9" s="29">
        <f t="shared" ref="AI9:AI15" si="29">AG9-AH9</f>
        <v>-6</v>
      </c>
      <c r="AJ9" s="34">
        <f t="shared" ref="AJ9:AJ15" si="30">(AD9*3)+(AE9*1)</f>
        <v>15</v>
      </c>
      <c r="AL9" s="20"/>
      <c r="AM9" s="75"/>
      <c r="AN9" s="76"/>
      <c r="AO9" s="72"/>
      <c r="AP9" s="70"/>
    </row>
    <row r="10" spans="2:42" x14ac:dyDescent="0.2">
      <c r="B10" s="103">
        <v>44525</v>
      </c>
      <c r="C10" s="21">
        <v>7</v>
      </c>
      <c r="D10" s="58" t="s">
        <v>79</v>
      </c>
      <c r="E10" s="124">
        <v>0</v>
      </c>
      <c r="F10" s="124">
        <v>0</v>
      </c>
      <c r="G10" s="58" t="s">
        <v>78</v>
      </c>
      <c r="H10" s="58"/>
      <c r="I10" s="58"/>
      <c r="J10" s="58"/>
      <c r="K10" s="58" t="str">
        <f t="shared" si="0"/>
        <v>HD</v>
      </c>
      <c r="L10" s="58" t="str">
        <f t="shared" si="1"/>
        <v>AD</v>
      </c>
      <c r="M10" s="60" t="str">
        <f t="shared" si="2"/>
        <v>NorthEast UnitedKerala Blasters</v>
      </c>
      <c r="N10" s="61"/>
      <c r="P10" s="3" t="s">
        <v>85</v>
      </c>
      <c r="Q10" s="2">
        <f t="shared" si="3"/>
        <v>5</v>
      </c>
      <c r="R10" s="21">
        <f t="shared" si="4"/>
        <v>9</v>
      </c>
      <c r="S10" s="28">
        <f t="shared" si="5"/>
        <v>3</v>
      </c>
      <c r="T10" s="47">
        <f t="shared" si="6"/>
        <v>4</v>
      </c>
      <c r="U10" s="28">
        <f t="shared" si="7"/>
        <v>1</v>
      </c>
      <c r="V10" s="47">
        <f t="shared" si="8"/>
        <v>4</v>
      </c>
      <c r="W10" s="28">
        <f t="shared" si="9"/>
        <v>1</v>
      </c>
      <c r="X10" s="29">
        <f t="shared" si="10"/>
        <v>1</v>
      </c>
      <c r="Y10" s="28">
        <f t="shared" si="11"/>
        <v>13</v>
      </c>
      <c r="Z10" s="47">
        <f t="shared" si="12"/>
        <v>20</v>
      </c>
      <c r="AA10" s="28">
        <f t="shared" si="13"/>
        <v>4</v>
      </c>
      <c r="AB10" s="47">
        <f t="shared" si="14"/>
        <v>9</v>
      </c>
      <c r="AC10" s="3">
        <f t="shared" si="23"/>
        <v>14</v>
      </c>
      <c r="AD10" s="29">
        <f t="shared" si="24"/>
        <v>7</v>
      </c>
      <c r="AE10" s="29">
        <f t="shared" si="25"/>
        <v>5</v>
      </c>
      <c r="AF10" s="29">
        <f t="shared" si="26"/>
        <v>2</v>
      </c>
      <c r="AG10" s="28">
        <f t="shared" si="27"/>
        <v>33</v>
      </c>
      <c r="AH10" s="29">
        <f t="shared" si="28"/>
        <v>13</v>
      </c>
      <c r="AI10" s="29">
        <f t="shared" si="29"/>
        <v>20</v>
      </c>
      <c r="AJ10" s="34">
        <f t="shared" si="30"/>
        <v>26</v>
      </c>
      <c r="AL10" s="15"/>
      <c r="AM10" s="75"/>
      <c r="AN10" s="76"/>
      <c r="AO10" s="72"/>
      <c r="AP10" s="70"/>
    </row>
    <row r="11" spans="2:42" x14ac:dyDescent="0.2">
      <c r="B11" s="103">
        <v>44526</v>
      </c>
      <c r="C11" s="21">
        <v>8</v>
      </c>
      <c r="D11" s="58" t="s">
        <v>80</v>
      </c>
      <c r="E11" s="124">
        <v>1</v>
      </c>
      <c r="F11" s="124">
        <v>3</v>
      </c>
      <c r="G11" s="58" t="s">
        <v>82</v>
      </c>
      <c r="H11" s="58"/>
      <c r="I11" s="58"/>
      <c r="J11" s="58"/>
      <c r="K11" s="58" t="str">
        <f t="shared" si="0"/>
        <v>HL</v>
      </c>
      <c r="L11" s="58" t="str">
        <f t="shared" si="1"/>
        <v>AW</v>
      </c>
      <c r="M11" s="60" t="str">
        <f t="shared" si="2"/>
        <v>GoaJamshedpur</v>
      </c>
      <c r="N11" s="61"/>
      <c r="P11" s="3" t="s">
        <v>82</v>
      </c>
      <c r="Q11" s="2">
        <f t="shared" si="3"/>
        <v>7</v>
      </c>
      <c r="R11" s="21">
        <f t="shared" si="4"/>
        <v>5</v>
      </c>
      <c r="S11" s="28">
        <f t="shared" si="5"/>
        <v>4</v>
      </c>
      <c r="T11" s="47">
        <f t="shared" si="6"/>
        <v>2</v>
      </c>
      <c r="U11" s="28">
        <f t="shared" si="7"/>
        <v>2</v>
      </c>
      <c r="V11" s="47">
        <f t="shared" si="8"/>
        <v>2</v>
      </c>
      <c r="W11" s="28">
        <f t="shared" si="9"/>
        <v>1</v>
      </c>
      <c r="X11" s="29">
        <f t="shared" si="10"/>
        <v>1</v>
      </c>
      <c r="Y11" s="28">
        <f t="shared" si="11"/>
        <v>8</v>
      </c>
      <c r="Z11" s="47">
        <f t="shared" si="12"/>
        <v>11</v>
      </c>
      <c r="AA11" s="28">
        <f t="shared" si="13"/>
        <v>5</v>
      </c>
      <c r="AB11" s="47">
        <f t="shared" si="14"/>
        <v>7</v>
      </c>
      <c r="AC11" s="3">
        <f t="shared" si="23"/>
        <v>12</v>
      </c>
      <c r="AD11" s="29">
        <f t="shared" si="24"/>
        <v>6</v>
      </c>
      <c r="AE11" s="29">
        <f t="shared" si="25"/>
        <v>4</v>
      </c>
      <c r="AF11" s="29">
        <f t="shared" si="26"/>
        <v>2</v>
      </c>
      <c r="AG11" s="28">
        <f t="shared" si="27"/>
        <v>19</v>
      </c>
      <c r="AH11" s="29">
        <f t="shared" si="28"/>
        <v>12</v>
      </c>
      <c r="AI11" s="29">
        <f t="shared" si="29"/>
        <v>7</v>
      </c>
      <c r="AJ11" s="34">
        <f t="shared" si="30"/>
        <v>22</v>
      </c>
      <c r="AL11" s="15"/>
      <c r="AM11" s="75"/>
      <c r="AN11" s="76"/>
      <c r="AO11" s="72"/>
      <c r="AP11" s="70"/>
    </row>
    <row r="12" spans="2:42" x14ac:dyDescent="0.2">
      <c r="B12" s="103">
        <v>44527</v>
      </c>
      <c r="C12" s="21">
        <v>9</v>
      </c>
      <c r="D12" s="58" t="s">
        <v>77</v>
      </c>
      <c r="E12" s="124">
        <v>0</v>
      </c>
      <c r="F12" s="124">
        <v>3</v>
      </c>
      <c r="G12" s="58" t="s">
        <v>76</v>
      </c>
      <c r="H12" s="58"/>
      <c r="I12" s="58"/>
      <c r="J12" s="58"/>
      <c r="K12" s="58" t="str">
        <f t="shared" si="0"/>
        <v>HL</v>
      </c>
      <c r="L12" s="58" t="str">
        <f t="shared" si="1"/>
        <v>AW</v>
      </c>
      <c r="M12" s="60" t="str">
        <f t="shared" si="2"/>
        <v>East BengalATK-MB</v>
      </c>
      <c r="N12" s="61"/>
      <c r="P12" s="3" t="s">
        <v>78</v>
      </c>
      <c r="Q12" s="2">
        <f t="shared" si="3"/>
        <v>5</v>
      </c>
      <c r="R12" s="21">
        <f t="shared" si="4"/>
        <v>7</v>
      </c>
      <c r="S12" s="28">
        <f t="shared" si="5"/>
        <v>2</v>
      </c>
      <c r="T12" s="47">
        <f t="shared" si="6"/>
        <v>3</v>
      </c>
      <c r="U12" s="28">
        <f t="shared" si="7"/>
        <v>2</v>
      </c>
      <c r="V12" s="47">
        <f t="shared" si="8"/>
        <v>3</v>
      </c>
      <c r="W12" s="28">
        <f t="shared" si="9"/>
        <v>1</v>
      </c>
      <c r="X12" s="29">
        <f t="shared" si="10"/>
        <v>1</v>
      </c>
      <c r="Y12" s="28">
        <f t="shared" si="11"/>
        <v>6</v>
      </c>
      <c r="Z12" s="47">
        <f t="shared" si="12"/>
        <v>12</v>
      </c>
      <c r="AA12" s="28">
        <f t="shared" si="13"/>
        <v>5</v>
      </c>
      <c r="AB12" s="47">
        <f t="shared" si="14"/>
        <v>6</v>
      </c>
      <c r="AC12" s="3">
        <f t="shared" si="23"/>
        <v>12</v>
      </c>
      <c r="AD12" s="29">
        <f t="shared" si="24"/>
        <v>5</v>
      </c>
      <c r="AE12" s="29">
        <f t="shared" si="25"/>
        <v>5</v>
      </c>
      <c r="AF12" s="29">
        <f t="shared" si="26"/>
        <v>2</v>
      </c>
      <c r="AG12" s="28">
        <f t="shared" si="27"/>
        <v>18</v>
      </c>
      <c r="AH12" s="29">
        <f t="shared" si="28"/>
        <v>11</v>
      </c>
      <c r="AI12" s="29">
        <f t="shared" si="29"/>
        <v>7</v>
      </c>
      <c r="AJ12" s="34">
        <f t="shared" si="30"/>
        <v>20</v>
      </c>
      <c r="AL12" s="15"/>
      <c r="AM12" s="75"/>
      <c r="AN12" s="76"/>
      <c r="AO12" s="72"/>
      <c r="AP12" s="70"/>
    </row>
    <row r="13" spans="2:42" x14ac:dyDescent="0.2">
      <c r="B13" s="103">
        <v>44527</v>
      </c>
      <c r="C13" s="50">
        <v>10</v>
      </c>
      <c r="D13" s="81" t="s">
        <v>86</v>
      </c>
      <c r="E13" s="125">
        <v>1</v>
      </c>
      <c r="F13" s="125">
        <v>3</v>
      </c>
      <c r="G13" s="81" t="s">
        <v>85</v>
      </c>
      <c r="H13" s="58"/>
      <c r="I13" s="58"/>
      <c r="J13" s="58"/>
      <c r="K13" s="58" t="str">
        <f t="shared" si="0"/>
        <v>HL</v>
      </c>
      <c r="L13" s="58" t="str">
        <f t="shared" si="1"/>
        <v>AW</v>
      </c>
      <c r="M13" s="60" t="str">
        <f t="shared" si="2"/>
        <v>Mumbai CityHyderabad</v>
      </c>
      <c r="N13" s="61"/>
      <c r="P13" s="3" t="s">
        <v>86</v>
      </c>
      <c r="Q13" s="2">
        <f t="shared" si="3"/>
        <v>8</v>
      </c>
      <c r="R13" s="21">
        <f t="shared" si="4"/>
        <v>5</v>
      </c>
      <c r="S13" s="28">
        <f t="shared" si="5"/>
        <v>3</v>
      </c>
      <c r="T13" s="47">
        <f t="shared" si="6"/>
        <v>2</v>
      </c>
      <c r="U13" s="28">
        <f t="shared" si="7"/>
        <v>2</v>
      </c>
      <c r="V13" s="47">
        <f t="shared" si="8"/>
        <v>2</v>
      </c>
      <c r="W13" s="28">
        <f t="shared" si="9"/>
        <v>3</v>
      </c>
      <c r="X13" s="29">
        <f t="shared" si="10"/>
        <v>1</v>
      </c>
      <c r="Y13" s="28">
        <f t="shared" si="11"/>
        <v>11</v>
      </c>
      <c r="Z13" s="47">
        <f t="shared" si="12"/>
        <v>13</v>
      </c>
      <c r="AA13" s="28">
        <f t="shared" si="13"/>
        <v>13</v>
      </c>
      <c r="AB13" s="47">
        <f t="shared" si="14"/>
        <v>9</v>
      </c>
      <c r="AC13" s="3">
        <f t="shared" si="23"/>
        <v>13</v>
      </c>
      <c r="AD13" s="29">
        <f t="shared" si="24"/>
        <v>5</v>
      </c>
      <c r="AE13" s="29">
        <f t="shared" si="25"/>
        <v>4</v>
      </c>
      <c r="AF13" s="29">
        <f t="shared" si="26"/>
        <v>4</v>
      </c>
      <c r="AG13" s="28">
        <f t="shared" si="27"/>
        <v>24</v>
      </c>
      <c r="AH13" s="29">
        <f t="shared" si="28"/>
        <v>22</v>
      </c>
      <c r="AI13" s="29">
        <f t="shared" si="29"/>
        <v>2</v>
      </c>
      <c r="AJ13" s="34">
        <f t="shared" si="30"/>
        <v>19</v>
      </c>
      <c r="AL13" s="15"/>
      <c r="AM13" s="75"/>
      <c r="AN13" s="76"/>
      <c r="AO13" s="72"/>
      <c r="AP13" s="70"/>
    </row>
    <row r="14" spans="2:42" x14ac:dyDescent="0.2">
      <c r="B14" s="103">
        <v>44528</v>
      </c>
      <c r="C14" s="50">
        <v>11</v>
      </c>
      <c r="D14" s="81" t="s">
        <v>83</v>
      </c>
      <c r="E14" s="125">
        <v>1</v>
      </c>
      <c r="F14" s="125">
        <v>1</v>
      </c>
      <c r="G14" s="81" t="s">
        <v>78</v>
      </c>
      <c r="H14" s="58"/>
      <c r="I14" s="58"/>
      <c r="J14" s="58"/>
      <c r="K14" s="58" t="str">
        <f t="shared" si="0"/>
        <v>HD</v>
      </c>
      <c r="L14" s="58" t="str">
        <f t="shared" si="1"/>
        <v>AD</v>
      </c>
      <c r="M14" s="60" t="str">
        <f t="shared" si="2"/>
        <v>BengaluruKerala Blasters</v>
      </c>
      <c r="N14" s="61"/>
      <c r="P14" s="3" t="s">
        <v>79</v>
      </c>
      <c r="Q14" s="2">
        <f t="shared" si="3"/>
        <v>8</v>
      </c>
      <c r="R14" s="21">
        <f t="shared" si="4"/>
        <v>7</v>
      </c>
      <c r="S14" s="28">
        <f t="shared" si="5"/>
        <v>2</v>
      </c>
      <c r="T14" s="47">
        <f t="shared" si="6"/>
        <v>0</v>
      </c>
      <c r="U14" s="28">
        <f t="shared" si="7"/>
        <v>2</v>
      </c>
      <c r="V14" s="47">
        <f t="shared" si="8"/>
        <v>2</v>
      </c>
      <c r="W14" s="28">
        <f t="shared" si="9"/>
        <v>4</v>
      </c>
      <c r="X14" s="29">
        <f t="shared" si="10"/>
        <v>5</v>
      </c>
      <c r="Y14" s="28">
        <f t="shared" si="11"/>
        <v>10</v>
      </c>
      <c r="Z14" s="47">
        <f t="shared" si="12"/>
        <v>8</v>
      </c>
      <c r="AA14" s="28">
        <f t="shared" si="13"/>
        <v>16</v>
      </c>
      <c r="AB14" s="47">
        <f t="shared" si="14"/>
        <v>17</v>
      </c>
      <c r="AC14" s="3">
        <f t="shared" si="23"/>
        <v>15</v>
      </c>
      <c r="AD14" s="29">
        <f t="shared" si="24"/>
        <v>2</v>
      </c>
      <c r="AE14" s="29">
        <f t="shared" si="25"/>
        <v>4</v>
      </c>
      <c r="AF14" s="29">
        <f t="shared" si="26"/>
        <v>9</v>
      </c>
      <c r="AG14" s="28">
        <f t="shared" si="27"/>
        <v>18</v>
      </c>
      <c r="AH14" s="29">
        <f t="shared" si="28"/>
        <v>33</v>
      </c>
      <c r="AI14" s="29">
        <f t="shared" si="29"/>
        <v>-15</v>
      </c>
      <c r="AJ14" s="34">
        <f t="shared" si="30"/>
        <v>10</v>
      </c>
      <c r="AL14" s="15"/>
      <c r="AM14" s="75"/>
      <c r="AN14" s="76"/>
      <c r="AO14" s="72"/>
      <c r="AP14" s="70"/>
    </row>
    <row r="15" spans="2:42" ht="17" thickBot="1" x14ac:dyDescent="0.25">
      <c r="B15" s="103">
        <v>44529</v>
      </c>
      <c r="C15" s="50">
        <v>12</v>
      </c>
      <c r="D15" s="81" t="s">
        <v>79</v>
      </c>
      <c r="E15" s="125">
        <v>1</v>
      </c>
      <c r="F15" s="125">
        <v>2</v>
      </c>
      <c r="G15" s="81" t="s">
        <v>84</v>
      </c>
      <c r="H15" s="58"/>
      <c r="I15" s="58"/>
      <c r="J15" s="58"/>
      <c r="K15" s="58" t="str">
        <f t="shared" si="0"/>
        <v>HL</v>
      </c>
      <c r="L15" s="58" t="str">
        <f t="shared" si="1"/>
        <v>AW</v>
      </c>
      <c r="M15" s="60" t="str">
        <f t="shared" si="2"/>
        <v>NorthEast UnitedChennaiyin</v>
      </c>
      <c r="N15" s="61"/>
      <c r="O15" s="1"/>
      <c r="P15" s="6" t="s">
        <v>81</v>
      </c>
      <c r="Q15" s="33">
        <f t="shared" si="3"/>
        <v>8</v>
      </c>
      <c r="R15" s="1">
        <f t="shared" si="4"/>
        <v>6</v>
      </c>
      <c r="S15" s="30">
        <f t="shared" si="5"/>
        <v>4</v>
      </c>
      <c r="T15" s="31">
        <f t="shared" si="6"/>
        <v>1</v>
      </c>
      <c r="U15" s="30">
        <f t="shared" si="7"/>
        <v>1</v>
      </c>
      <c r="V15" s="31">
        <f t="shared" si="8"/>
        <v>2</v>
      </c>
      <c r="W15" s="30">
        <f t="shared" si="9"/>
        <v>3</v>
      </c>
      <c r="X15" s="32">
        <f t="shared" si="10"/>
        <v>3</v>
      </c>
      <c r="Y15" s="30">
        <f t="shared" si="11"/>
        <v>17</v>
      </c>
      <c r="Z15" s="31">
        <f t="shared" si="12"/>
        <v>6</v>
      </c>
      <c r="AA15" s="30">
        <f t="shared" si="13"/>
        <v>17</v>
      </c>
      <c r="AB15" s="31">
        <f t="shared" si="14"/>
        <v>11</v>
      </c>
      <c r="AC15" s="6">
        <f t="shared" si="23"/>
        <v>14</v>
      </c>
      <c r="AD15" s="32">
        <f t="shared" si="24"/>
        <v>5</v>
      </c>
      <c r="AE15" s="32">
        <f t="shared" si="25"/>
        <v>3</v>
      </c>
      <c r="AF15" s="32">
        <f t="shared" si="26"/>
        <v>6</v>
      </c>
      <c r="AG15" s="30">
        <f t="shared" si="27"/>
        <v>23</v>
      </c>
      <c r="AH15" s="32">
        <f t="shared" si="28"/>
        <v>28</v>
      </c>
      <c r="AI15" s="32">
        <f t="shared" si="29"/>
        <v>-5</v>
      </c>
      <c r="AJ15" s="36">
        <f t="shared" si="30"/>
        <v>18</v>
      </c>
      <c r="AK15" s="1"/>
      <c r="AL15" s="15"/>
      <c r="AM15" s="75"/>
      <c r="AN15" s="76"/>
      <c r="AO15" s="70"/>
      <c r="AP15" s="70"/>
    </row>
    <row r="16" spans="2:42" ht="16" customHeight="1" x14ac:dyDescent="0.2">
      <c r="B16" s="103">
        <v>44530</v>
      </c>
      <c r="C16" s="50">
        <v>13</v>
      </c>
      <c r="D16" s="81" t="s">
        <v>81</v>
      </c>
      <c r="E16" s="125">
        <v>6</v>
      </c>
      <c r="F16" s="125">
        <v>4</v>
      </c>
      <c r="G16" s="81" t="s">
        <v>77</v>
      </c>
      <c r="H16" s="58"/>
      <c r="I16" s="58"/>
      <c r="J16" s="58"/>
      <c r="K16" s="58" t="str">
        <f t="shared" si="0"/>
        <v>HW</v>
      </c>
      <c r="L16" s="58" t="str">
        <f t="shared" si="1"/>
        <v>AL</v>
      </c>
      <c r="M16" s="60" t="str">
        <f t="shared" si="2"/>
        <v>OdishaEast Bengal</v>
      </c>
      <c r="N16" s="61"/>
      <c r="P16" s="11" t="s">
        <v>1</v>
      </c>
      <c r="Q16" s="22">
        <f t="shared" si="3"/>
        <v>0</v>
      </c>
      <c r="R16" s="23">
        <f t="shared" si="4"/>
        <v>0</v>
      </c>
      <c r="S16" s="22">
        <f t="shared" si="5"/>
        <v>0</v>
      </c>
      <c r="T16" s="23">
        <f t="shared" si="6"/>
        <v>0</v>
      </c>
      <c r="U16" s="22">
        <f t="shared" si="7"/>
        <v>0</v>
      </c>
      <c r="V16" s="23">
        <f t="shared" si="8"/>
        <v>0</v>
      </c>
      <c r="W16" s="22">
        <f t="shared" si="9"/>
        <v>0</v>
      </c>
      <c r="X16" s="24">
        <f t="shared" si="10"/>
        <v>0</v>
      </c>
      <c r="Y16" s="22">
        <f>SUM(Y5:Y15)</f>
        <v>114</v>
      </c>
      <c r="Z16" s="23">
        <f>SUM(Z5:Z15)</f>
        <v>117</v>
      </c>
      <c r="AA16" s="22">
        <f>SUM(AA5:AA15)</f>
        <v>117</v>
      </c>
      <c r="AB16" s="23">
        <f>SUM(AB5:AB15)</f>
        <v>114</v>
      </c>
      <c r="AC16" s="11">
        <f>SUM(AC5:AC15)/2</f>
        <v>75</v>
      </c>
      <c r="AD16" s="37">
        <f>SUM(AD5:AD15)/2</f>
        <v>24.5</v>
      </c>
      <c r="AE16" s="24">
        <f>SUM(AE5:AE15)/2</f>
        <v>26</v>
      </c>
      <c r="AF16" s="37">
        <f>SUM(AF5:AF15)/2</f>
        <v>24.5</v>
      </c>
      <c r="AG16" s="22">
        <f>SUM(AG5:AG15)</f>
        <v>231</v>
      </c>
      <c r="AH16" s="24">
        <f>SUM(AH5:AH15)</f>
        <v>231</v>
      </c>
      <c r="AI16" s="24"/>
      <c r="AJ16" s="35"/>
      <c r="AL16" s="15"/>
      <c r="AM16" s="75"/>
      <c r="AN16" s="75"/>
    </row>
    <row r="17" spans="2:40" x14ac:dyDescent="0.2">
      <c r="B17" s="103">
        <v>44531</v>
      </c>
      <c r="C17" s="50">
        <v>14</v>
      </c>
      <c r="D17" s="81" t="s">
        <v>76</v>
      </c>
      <c r="E17" s="125">
        <v>1</v>
      </c>
      <c r="F17" s="125">
        <v>5</v>
      </c>
      <c r="G17" s="81" t="s">
        <v>86</v>
      </c>
      <c r="H17" s="58"/>
      <c r="I17" s="58"/>
      <c r="J17" s="58"/>
      <c r="K17" s="58" t="str">
        <f t="shared" si="0"/>
        <v>HL</v>
      </c>
      <c r="L17" s="58" t="str">
        <f t="shared" si="1"/>
        <v>AW</v>
      </c>
      <c r="M17" s="60" t="str">
        <f t="shared" si="2"/>
        <v>ATK-MBMumbai City</v>
      </c>
      <c r="N17" s="61"/>
      <c r="Q17" s="15"/>
      <c r="R17" s="15"/>
      <c r="S17" s="15"/>
      <c r="T17" s="15"/>
      <c r="V17" s="62"/>
      <c r="W17" s="62"/>
      <c r="X17" s="61"/>
      <c r="Y17" s="15"/>
      <c r="AA17" s="62"/>
      <c r="AB17" s="62"/>
      <c r="AC17" s="152">
        <v>110</v>
      </c>
      <c r="AE17" s="62"/>
      <c r="AF17" s="62"/>
      <c r="AG17" s="63"/>
      <c r="AN17" s="75"/>
    </row>
    <row r="18" spans="2:40" x14ac:dyDescent="0.2">
      <c r="B18" s="103">
        <v>44532</v>
      </c>
      <c r="C18" s="50">
        <v>15</v>
      </c>
      <c r="D18" s="58" t="s">
        <v>82</v>
      </c>
      <c r="E18" s="125">
        <v>1</v>
      </c>
      <c r="F18" s="125">
        <v>1</v>
      </c>
      <c r="G18" s="81" t="s">
        <v>85</v>
      </c>
      <c r="H18" s="58"/>
      <c r="I18" s="58"/>
      <c r="J18" s="58"/>
      <c r="K18" s="58" t="str">
        <f t="shared" si="0"/>
        <v>HD</v>
      </c>
      <c r="L18" s="58" t="str">
        <f t="shared" si="1"/>
        <v>AD</v>
      </c>
      <c r="M18" s="60" t="str">
        <f t="shared" si="2"/>
        <v>JamshedpurHyderabad</v>
      </c>
      <c r="N18" s="61"/>
      <c r="AC18" s="157">
        <f>AC16/AC17</f>
        <v>0.68181818181818177</v>
      </c>
      <c r="AK18" s="15"/>
      <c r="AN18" s="75"/>
    </row>
    <row r="19" spans="2:40" x14ac:dyDescent="0.2">
      <c r="B19" s="103">
        <v>44533</v>
      </c>
      <c r="C19" s="50">
        <v>16</v>
      </c>
      <c r="D19" s="81" t="s">
        <v>84</v>
      </c>
      <c r="E19" s="125">
        <v>0</v>
      </c>
      <c r="F19" s="125">
        <v>0</v>
      </c>
      <c r="G19" s="81" t="s">
        <v>77</v>
      </c>
      <c r="H19" s="58"/>
      <c r="I19" s="58"/>
      <c r="J19" s="58"/>
      <c r="K19" s="58" t="str">
        <f t="shared" si="0"/>
        <v>HD</v>
      </c>
      <c r="L19" s="58" t="str">
        <f t="shared" si="1"/>
        <v>AD</v>
      </c>
      <c r="M19" s="60" t="str">
        <f t="shared" si="2"/>
        <v>ChennaiyinEast Bengal</v>
      </c>
      <c r="N19" s="61"/>
      <c r="AK19" s="15"/>
      <c r="AM19" s="75"/>
      <c r="AN19" s="75"/>
    </row>
    <row r="20" spans="2:40" x14ac:dyDescent="0.2">
      <c r="B20" s="103">
        <v>44534</v>
      </c>
      <c r="C20" s="50">
        <v>17</v>
      </c>
      <c r="D20" s="81" t="s">
        <v>79</v>
      </c>
      <c r="E20" s="125">
        <v>2</v>
      </c>
      <c r="F20" s="125">
        <v>1</v>
      </c>
      <c r="G20" s="81" t="s">
        <v>80</v>
      </c>
      <c r="H20" s="58"/>
      <c r="I20" s="58"/>
      <c r="J20" s="58"/>
      <c r="K20" s="58" t="str">
        <f t="shared" si="0"/>
        <v>HW</v>
      </c>
      <c r="L20" s="58" t="str">
        <f t="shared" si="1"/>
        <v>AL</v>
      </c>
      <c r="M20" s="60" t="str">
        <f t="shared" si="2"/>
        <v>NorthEast UnitedGoa</v>
      </c>
      <c r="N20" s="61"/>
      <c r="AM20" s="75"/>
      <c r="AN20" s="75"/>
    </row>
    <row r="21" spans="2:40" x14ac:dyDescent="0.2">
      <c r="B21" s="103">
        <v>44534</v>
      </c>
      <c r="C21" s="50">
        <v>18</v>
      </c>
      <c r="D21" s="81" t="s">
        <v>83</v>
      </c>
      <c r="E21" s="125">
        <v>1</v>
      </c>
      <c r="F21" s="125">
        <v>3</v>
      </c>
      <c r="G21" s="81" t="s">
        <v>86</v>
      </c>
      <c r="H21" s="58"/>
      <c r="I21" s="58"/>
      <c r="J21" s="58"/>
      <c r="K21" s="58" t="str">
        <f t="shared" si="0"/>
        <v>HL</v>
      </c>
      <c r="L21" s="58" t="str">
        <f t="shared" si="1"/>
        <v>AW</v>
      </c>
      <c r="M21" s="60" t="str">
        <f t="shared" si="2"/>
        <v>BengaluruMumbai City</v>
      </c>
      <c r="N21" s="61"/>
      <c r="AL21" s="64"/>
      <c r="AM21" s="75"/>
      <c r="AN21" s="75"/>
    </row>
    <row r="22" spans="2:40" x14ac:dyDescent="0.2">
      <c r="B22" s="103">
        <v>44535</v>
      </c>
      <c r="C22" s="50">
        <v>19</v>
      </c>
      <c r="D22" s="58" t="s">
        <v>78</v>
      </c>
      <c r="E22" s="125">
        <v>2</v>
      </c>
      <c r="F22" s="125">
        <v>1</v>
      </c>
      <c r="G22" s="81" t="s">
        <v>81</v>
      </c>
      <c r="H22" s="58"/>
      <c r="I22" s="58"/>
      <c r="J22" s="58"/>
      <c r="K22" s="58" t="str">
        <f t="shared" si="0"/>
        <v>HW</v>
      </c>
      <c r="L22" s="58" t="str">
        <f t="shared" si="1"/>
        <v>AL</v>
      </c>
      <c r="M22" s="60" t="str">
        <f t="shared" si="2"/>
        <v>Kerala BlastersOdisha</v>
      </c>
      <c r="N22" s="61"/>
      <c r="P22" s="44"/>
      <c r="AL22" s="64"/>
      <c r="AM22" s="75"/>
      <c r="AN22" s="75"/>
    </row>
    <row r="23" spans="2:40" x14ac:dyDescent="0.2">
      <c r="B23" s="103">
        <v>44536</v>
      </c>
      <c r="C23" s="50">
        <v>20</v>
      </c>
      <c r="D23" s="81" t="s">
        <v>82</v>
      </c>
      <c r="E23" s="125">
        <v>2</v>
      </c>
      <c r="F23" s="125">
        <v>1</v>
      </c>
      <c r="G23" s="81" t="s">
        <v>76</v>
      </c>
      <c r="H23" s="58"/>
      <c r="I23" s="58"/>
      <c r="J23" s="58"/>
      <c r="K23" s="58" t="str">
        <f t="shared" si="0"/>
        <v>HW</v>
      </c>
      <c r="L23" s="58" t="str">
        <f t="shared" si="1"/>
        <v>AL</v>
      </c>
      <c r="M23" s="60" t="str">
        <f t="shared" si="2"/>
        <v>JamshedpurATK-MB</v>
      </c>
      <c r="N23" s="61"/>
      <c r="P23" s="44"/>
      <c r="AM23" s="75"/>
      <c r="AN23" s="75"/>
    </row>
    <row r="24" spans="2:40" x14ac:dyDescent="0.2">
      <c r="B24" s="103">
        <v>44537</v>
      </c>
      <c r="C24" s="50">
        <v>21</v>
      </c>
      <c r="D24" s="81" t="s">
        <v>77</v>
      </c>
      <c r="E24" s="125">
        <v>3</v>
      </c>
      <c r="F24" s="125">
        <v>4</v>
      </c>
      <c r="G24" s="81" t="s">
        <v>80</v>
      </c>
      <c r="H24" s="58"/>
      <c r="I24" s="58"/>
      <c r="J24" s="58"/>
      <c r="K24" s="58" t="str">
        <f t="shared" si="0"/>
        <v>HL</v>
      </c>
      <c r="L24" s="58" t="str">
        <f t="shared" si="1"/>
        <v>AW</v>
      </c>
      <c r="M24" s="60" t="str">
        <f t="shared" si="2"/>
        <v>East BengalGoa</v>
      </c>
      <c r="N24" s="61"/>
      <c r="AL24" s="64"/>
      <c r="AM24" s="75"/>
      <c r="AN24" s="75"/>
    </row>
    <row r="25" spans="2:40" x14ac:dyDescent="0.2">
      <c r="B25" s="103">
        <v>44538</v>
      </c>
      <c r="C25" s="50">
        <v>22</v>
      </c>
      <c r="D25" s="81" t="s">
        <v>85</v>
      </c>
      <c r="E25" s="126">
        <v>1</v>
      </c>
      <c r="F25" s="126">
        <v>0</v>
      </c>
      <c r="G25" s="81" t="s">
        <v>83</v>
      </c>
      <c r="H25" s="58"/>
      <c r="I25" s="58"/>
      <c r="J25" s="58"/>
      <c r="K25" s="58" t="str">
        <f t="shared" si="0"/>
        <v>HW</v>
      </c>
      <c r="L25" s="58" t="str">
        <f t="shared" si="1"/>
        <v>AL</v>
      </c>
      <c r="M25" s="60" t="str">
        <f t="shared" si="2"/>
        <v>HyderabadBengaluru</v>
      </c>
      <c r="N25" s="61"/>
      <c r="AL25" s="64"/>
      <c r="AM25" s="75"/>
      <c r="AN25" s="75"/>
    </row>
    <row r="26" spans="2:40" x14ac:dyDescent="0.2">
      <c r="B26" s="103">
        <v>44539</v>
      </c>
      <c r="C26" s="50">
        <v>23</v>
      </c>
      <c r="D26" s="81" t="s">
        <v>86</v>
      </c>
      <c r="E26" s="125">
        <v>4</v>
      </c>
      <c r="F26" s="125">
        <v>2</v>
      </c>
      <c r="G26" s="81" t="s">
        <v>82</v>
      </c>
      <c r="H26" s="58"/>
      <c r="I26" s="58"/>
      <c r="J26" s="58"/>
      <c r="K26" s="58" t="str">
        <f t="shared" si="0"/>
        <v>HW</v>
      </c>
      <c r="L26" s="58" t="str">
        <f t="shared" si="1"/>
        <v>AL</v>
      </c>
      <c r="M26" s="60" t="str">
        <f t="shared" si="2"/>
        <v>Mumbai CityJamshedpur</v>
      </c>
      <c r="N26" s="61"/>
      <c r="AM26" s="75"/>
      <c r="AN26" s="75"/>
    </row>
    <row r="27" spans="2:40" x14ac:dyDescent="0.2">
      <c r="B27" s="103">
        <v>44540</v>
      </c>
      <c r="C27" s="50">
        <v>24</v>
      </c>
      <c r="D27" s="81" t="s">
        <v>81</v>
      </c>
      <c r="E27" s="126">
        <v>1</v>
      </c>
      <c r="F27" s="125">
        <v>0</v>
      </c>
      <c r="G27" s="81" t="s">
        <v>79</v>
      </c>
      <c r="H27" s="58"/>
      <c r="I27" s="58"/>
      <c r="J27" s="58"/>
      <c r="K27" s="58" t="str">
        <f t="shared" si="0"/>
        <v>HW</v>
      </c>
      <c r="L27" s="58" t="str">
        <f t="shared" si="1"/>
        <v>AL</v>
      </c>
      <c r="M27" s="60" t="str">
        <f t="shared" si="2"/>
        <v>OdishaNorthEast United</v>
      </c>
      <c r="N27" s="61"/>
      <c r="AM27" s="75"/>
      <c r="AN27" s="75"/>
    </row>
    <row r="28" spans="2:40" ht="16" customHeight="1" x14ac:dyDescent="0.2">
      <c r="B28" s="103">
        <v>44541</v>
      </c>
      <c r="C28" s="50">
        <v>25</v>
      </c>
      <c r="D28" s="81" t="s">
        <v>76</v>
      </c>
      <c r="E28" s="126">
        <v>1</v>
      </c>
      <c r="F28" s="125">
        <v>1</v>
      </c>
      <c r="G28" s="81" t="s">
        <v>84</v>
      </c>
      <c r="H28" s="58"/>
      <c r="I28" s="58"/>
      <c r="J28" s="58"/>
      <c r="K28" s="58" t="str">
        <f t="shared" si="0"/>
        <v>HD</v>
      </c>
      <c r="L28" s="58" t="str">
        <f t="shared" si="1"/>
        <v>AD</v>
      </c>
      <c r="M28" s="60" t="str">
        <f t="shared" si="2"/>
        <v>ATK-MBChennaiyin</v>
      </c>
      <c r="N28" s="61"/>
      <c r="AM28" s="75"/>
      <c r="AN28" s="75"/>
    </row>
    <row r="29" spans="2:40" x14ac:dyDescent="0.2">
      <c r="B29" s="103">
        <v>44541</v>
      </c>
      <c r="C29" s="50">
        <v>26</v>
      </c>
      <c r="D29" s="81" t="s">
        <v>80</v>
      </c>
      <c r="E29" s="125">
        <v>2</v>
      </c>
      <c r="F29" s="125">
        <v>1</v>
      </c>
      <c r="G29" s="81" t="s">
        <v>83</v>
      </c>
      <c r="H29" s="58"/>
      <c r="I29" s="58"/>
      <c r="J29" s="58"/>
      <c r="K29" s="58" t="str">
        <f t="shared" si="0"/>
        <v>HW</v>
      </c>
      <c r="L29" s="58" t="str">
        <f t="shared" si="1"/>
        <v>AL</v>
      </c>
      <c r="M29" s="60" t="str">
        <f t="shared" si="2"/>
        <v>GoaBengaluru</v>
      </c>
      <c r="N29" s="61"/>
      <c r="AM29" s="75"/>
      <c r="AN29" s="75"/>
    </row>
    <row r="30" spans="2:40" x14ac:dyDescent="0.2">
      <c r="B30" s="103">
        <v>44542</v>
      </c>
      <c r="C30" s="50">
        <v>27</v>
      </c>
      <c r="D30" s="81" t="s">
        <v>77</v>
      </c>
      <c r="E30" s="125">
        <v>1</v>
      </c>
      <c r="F30" s="125">
        <v>1</v>
      </c>
      <c r="G30" s="81" t="s">
        <v>78</v>
      </c>
      <c r="H30" s="58"/>
      <c r="I30" s="58"/>
      <c r="J30" s="58"/>
      <c r="K30" s="58" t="str">
        <f t="shared" si="0"/>
        <v>HD</v>
      </c>
      <c r="L30" s="58" t="str">
        <f t="shared" si="1"/>
        <v>AD</v>
      </c>
      <c r="M30" s="60" t="str">
        <f t="shared" si="2"/>
        <v>East BengalKerala Blasters</v>
      </c>
      <c r="N30" s="61"/>
      <c r="AM30" s="75"/>
      <c r="AN30" s="75"/>
    </row>
    <row r="31" spans="2:40" x14ac:dyDescent="0.2">
      <c r="B31" s="103">
        <v>44543</v>
      </c>
      <c r="C31" s="50">
        <v>28</v>
      </c>
      <c r="D31" s="81" t="s">
        <v>85</v>
      </c>
      <c r="E31" s="125">
        <v>5</v>
      </c>
      <c r="F31" s="125">
        <v>1</v>
      </c>
      <c r="G31" s="81" t="s">
        <v>79</v>
      </c>
      <c r="H31" s="58"/>
      <c r="I31" s="58"/>
      <c r="J31" s="58"/>
      <c r="K31" s="58" t="str">
        <f t="shared" si="0"/>
        <v>HW</v>
      </c>
      <c r="L31" s="58" t="str">
        <f t="shared" si="1"/>
        <v>AL</v>
      </c>
      <c r="M31" s="60" t="str">
        <f t="shared" si="2"/>
        <v>HyderabadNorthEast United</v>
      </c>
      <c r="N31" s="61"/>
      <c r="AM31" s="75"/>
      <c r="AN31" s="75"/>
    </row>
    <row r="32" spans="2:40" ht="17" customHeight="1" x14ac:dyDescent="0.2">
      <c r="B32" s="103">
        <v>44544</v>
      </c>
      <c r="C32" s="50">
        <v>29</v>
      </c>
      <c r="D32" s="81" t="s">
        <v>81</v>
      </c>
      <c r="E32" s="125">
        <v>0</v>
      </c>
      <c r="F32" s="125">
        <v>4</v>
      </c>
      <c r="G32" s="81" t="s">
        <v>82</v>
      </c>
      <c r="H32" s="58"/>
      <c r="I32" s="58"/>
      <c r="J32" s="58"/>
      <c r="K32" s="58" t="str">
        <f t="shared" si="0"/>
        <v>HL</v>
      </c>
      <c r="L32" s="58" t="str">
        <f t="shared" si="1"/>
        <v>AW</v>
      </c>
      <c r="M32" s="60" t="str">
        <f t="shared" si="2"/>
        <v>OdishaJamshedpur</v>
      </c>
      <c r="N32" s="61"/>
    </row>
    <row r="33" spans="2:34" x14ac:dyDescent="0.2">
      <c r="B33" s="103">
        <v>44545</v>
      </c>
      <c r="C33" s="50">
        <v>30</v>
      </c>
      <c r="D33" s="81" t="s">
        <v>86</v>
      </c>
      <c r="E33" s="125">
        <v>1</v>
      </c>
      <c r="F33" s="125">
        <v>0</v>
      </c>
      <c r="G33" s="81" t="s">
        <v>84</v>
      </c>
      <c r="H33" s="58"/>
      <c r="I33" s="58"/>
      <c r="J33" s="58"/>
      <c r="K33" s="58" t="str">
        <f t="shared" si="0"/>
        <v>HW</v>
      </c>
      <c r="L33" s="58" t="str">
        <f t="shared" si="1"/>
        <v>AL</v>
      </c>
      <c r="M33" s="60" t="str">
        <f t="shared" si="2"/>
        <v>Mumbai CityChennaiyin</v>
      </c>
      <c r="N33" s="61"/>
    </row>
    <row r="34" spans="2:34" x14ac:dyDescent="0.2">
      <c r="B34" s="103">
        <v>44546</v>
      </c>
      <c r="C34" s="50">
        <v>31</v>
      </c>
      <c r="D34" s="81" t="s">
        <v>83</v>
      </c>
      <c r="E34" s="125">
        <v>3</v>
      </c>
      <c r="F34" s="125">
        <v>3</v>
      </c>
      <c r="G34" s="81" t="s">
        <v>76</v>
      </c>
      <c r="H34" s="58"/>
      <c r="I34" s="58"/>
      <c r="J34" s="58"/>
      <c r="K34" s="58" t="str">
        <f t="shared" si="0"/>
        <v>HD</v>
      </c>
      <c r="L34" s="58" t="str">
        <f t="shared" si="1"/>
        <v>AD</v>
      </c>
      <c r="M34" s="60" t="str">
        <f t="shared" si="2"/>
        <v>BengaluruATK-MB</v>
      </c>
      <c r="N34" s="61"/>
    </row>
    <row r="35" spans="2:34" x14ac:dyDescent="0.2">
      <c r="B35" s="103">
        <v>44547</v>
      </c>
      <c r="C35" s="50">
        <v>32</v>
      </c>
      <c r="D35" s="81" t="s">
        <v>79</v>
      </c>
      <c r="E35" s="125">
        <v>2</v>
      </c>
      <c r="F35" s="125">
        <v>0</v>
      </c>
      <c r="G35" s="81" t="s">
        <v>77</v>
      </c>
      <c r="H35" s="58"/>
      <c r="I35" s="58"/>
      <c r="J35" s="58"/>
      <c r="K35" s="58" t="str">
        <f t="shared" si="0"/>
        <v>HW</v>
      </c>
      <c r="L35" s="58" t="str">
        <f t="shared" si="1"/>
        <v>AL</v>
      </c>
      <c r="M35" s="60" t="str">
        <f t="shared" si="2"/>
        <v>NorthEast UnitedEast Bengal</v>
      </c>
      <c r="N35" s="61"/>
    </row>
    <row r="36" spans="2:34" x14ac:dyDescent="0.2">
      <c r="B36" s="103">
        <v>44548</v>
      </c>
      <c r="C36" s="50">
        <v>33</v>
      </c>
      <c r="D36" s="81" t="s">
        <v>84</v>
      </c>
      <c r="E36" s="125">
        <v>2</v>
      </c>
      <c r="F36" s="125">
        <v>1</v>
      </c>
      <c r="G36" s="81" t="s">
        <v>81</v>
      </c>
      <c r="H36" s="58"/>
      <c r="I36" s="58"/>
      <c r="J36" s="58"/>
      <c r="K36" s="58" t="str">
        <f t="shared" ref="K36:K67" si="31">IF(COUNT(E36),IF(E36&gt;F36,"HW",IF(E36=F36,"HD","HL")),"")</f>
        <v>HW</v>
      </c>
      <c r="L36" s="58" t="str">
        <f t="shared" ref="L36:L67" si="32">IF(COUNT(F36),IF(F36&gt;E36,"AW",IF(F36=E36,"AD","AL")),"")</f>
        <v>AL</v>
      </c>
      <c r="M36" s="60" t="str">
        <f t="shared" ref="M36:M68" si="33">D36&amp;G36</f>
        <v>ChennaiyinOdisha</v>
      </c>
      <c r="N36" s="61"/>
    </row>
    <row r="37" spans="2:34" x14ac:dyDescent="0.2">
      <c r="B37" s="103">
        <v>44548</v>
      </c>
      <c r="C37" s="50">
        <v>34</v>
      </c>
      <c r="D37" s="81" t="s">
        <v>80</v>
      </c>
      <c r="E37" s="125">
        <v>1</v>
      </c>
      <c r="F37" s="125">
        <v>1</v>
      </c>
      <c r="G37" s="81" t="s">
        <v>85</v>
      </c>
      <c r="H37" s="58"/>
      <c r="I37" s="58"/>
      <c r="J37" s="58"/>
      <c r="K37" s="58" t="str">
        <f t="shared" si="31"/>
        <v>HD</v>
      </c>
      <c r="L37" s="58" t="str">
        <f t="shared" si="32"/>
        <v>AD</v>
      </c>
      <c r="M37" s="60" t="str">
        <f t="shared" si="33"/>
        <v>GoaHyderabad</v>
      </c>
      <c r="N37" s="61"/>
      <c r="Q37" s="15"/>
      <c r="R37" s="15"/>
      <c r="S37" s="15"/>
      <c r="T37" s="15"/>
      <c r="V37" s="62"/>
      <c r="W37" s="62"/>
      <c r="X37" s="61"/>
      <c r="Y37" s="15"/>
      <c r="AA37" s="62"/>
      <c r="AB37" s="62"/>
      <c r="AC37" s="15"/>
      <c r="AE37" s="62"/>
      <c r="AF37" s="62"/>
      <c r="AG37" s="61"/>
    </row>
    <row r="38" spans="2:34" x14ac:dyDescent="0.2">
      <c r="B38" s="103">
        <v>44549</v>
      </c>
      <c r="C38" s="50">
        <v>35</v>
      </c>
      <c r="D38" s="81" t="s">
        <v>86</v>
      </c>
      <c r="E38" s="125">
        <v>0</v>
      </c>
      <c r="F38" s="125">
        <v>3</v>
      </c>
      <c r="G38" s="81" t="s">
        <v>78</v>
      </c>
      <c r="H38" s="58"/>
      <c r="I38" s="58"/>
      <c r="J38" s="58"/>
      <c r="K38" s="58" t="str">
        <f t="shared" si="31"/>
        <v>HL</v>
      </c>
      <c r="L38" s="58" t="str">
        <f t="shared" si="32"/>
        <v>AW</v>
      </c>
      <c r="M38" s="60" t="str">
        <f t="shared" si="33"/>
        <v>Mumbai CityKerala Blasters</v>
      </c>
      <c r="N38" s="61"/>
      <c r="O38" s="44"/>
      <c r="P38" s="44"/>
      <c r="Q38" s="15"/>
      <c r="R38" s="15"/>
      <c r="S38" s="15"/>
      <c r="T38" s="15"/>
      <c r="V38" s="15"/>
      <c r="W38" s="62"/>
      <c r="X38" s="65"/>
      <c r="Y38" s="15"/>
      <c r="Z38" s="44"/>
      <c r="AA38" s="15"/>
      <c r="AB38" s="20"/>
      <c r="AE38" s="15"/>
      <c r="AF38" s="15"/>
      <c r="AG38" s="61"/>
      <c r="AH38" s="44"/>
    </row>
    <row r="39" spans="2:34" x14ac:dyDescent="0.2">
      <c r="B39" s="103">
        <v>44550</v>
      </c>
      <c r="C39" s="50">
        <v>36</v>
      </c>
      <c r="D39" s="81" t="s">
        <v>82</v>
      </c>
      <c r="E39" s="125">
        <v>0</v>
      </c>
      <c r="F39" s="125">
        <v>0</v>
      </c>
      <c r="G39" s="81" t="s">
        <v>83</v>
      </c>
      <c r="H39" s="58"/>
      <c r="I39" s="58"/>
      <c r="J39" s="58"/>
      <c r="K39" s="58" t="str">
        <f t="shared" si="31"/>
        <v>HD</v>
      </c>
      <c r="L39" s="58" t="str">
        <f t="shared" si="32"/>
        <v>AD</v>
      </c>
      <c r="M39" s="60" t="str">
        <f t="shared" si="33"/>
        <v>JamshedpurBengaluru</v>
      </c>
      <c r="N39" s="61"/>
      <c r="AG39" s="62"/>
    </row>
    <row r="40" spans="2:34" ht="16" customHeight="1" x14ac:dyDescent="0.2">
      <c r="B40" s="103">
        <v>44551</v>
      </c>
      <c r="C40" s="50">
        <v>37</v>
      </c>
      <c r="D40" s="81" t="s">
        <v>79</v>
      </c>
      <c r="E40" s="125">
        <v>2</v>
      </c>
      <c r="F40" s="125">
        <v>3</v>
      </c>
      <c r="G40" s="81" t="s">
        <v>76</v>
      </c>
      <c r="H40" s="58"/>
      <c r="I40" s="58"/>
      <c r="J40" s="58"/>
      <c r="K40" s="58" t="str">
        <f t="shared" si="31"/>
        <v>HL</v>
      </c>
      <c r="L40" s="58" t="str">
        <f t="shared" si="32"/>
        <v>AW</v>
      </c>
      <c r="M40" s="60" t="str">
        <f t="shared" si="33"/>
        <v>NorthEast UnitedATK-MB</v>
      </c>
      <c r="N40" s="61"/>
      <c r="O40" s="44"/>
      <c r="AA40" s="44"/>
      <c r="AG40" s="66"/>
      <c r="AH40" s="15"/>
    </row>
    <row r="41" spans="2:34" x14ac:dyDescent="0.2">
      <c r="B41" s="103">
        <v>44552</v>
      </c>
      <c r="C41" s="50">
        <v>38</v>
      </c>
      <c r="D41" s="81" t="s">
        <v>84</v>
      </c>
      <c r="E41" s="125">
        <v>0</v>
      </c>
      <c r="F41" s="125">
        <v>3</v>
      </c>
      <c r="G41" s="81" t="s">
        <v>78</v>
      </c>
      <c r="H41" s="58"/>
      <c r="I41" s="58"/>
      <c r="J41" s="58"/>
      <c r="K41" s="58" t="str">
        <f t="shared" si="31"/>
        <v>HL</v>
      </c>
      <c r="L41" s="58" t="str">
        <f t="shared" si="32"/>
        <v>AW</v>
      </c>
      <c r="M41" s="60" t="str">
        <f t="shared" si="33"/>
        <v>ChennaiyinKerala Blasters</v>
      </c>
      <c r="N41" s="61"/>
      <c r="AG41" s="62"/>
      <c r="AH41" s="15"/>
    </row>
    <row r="42" spans="2:34" x14ac:dyDescent="0.2">
      <c r="B42" s="103">
        <v>44553</v>
      </c>
      <c r="C42" s="50">
        <v>39</v>
      </c>
      <c r="D42" s="81" t="s">
        <v>85</v>
      </c>
      <c r="E42" s="125">
        <v>1</v>
      </c>
      <c r="F42" s="125">
        <v>1</v>
      </c>
      <c r="G42" s="81" t="s">
        <v>77</v>
      </c>
      <c r="H42" s="58"/>
      <c r="I42" s="58"/>
      <c r="J42" s="58"/>
      <c r="K42" s="58" t="str">
        <f t="shared" si="31"/>
        <v>HD</v>
      </c>
      <c r="L42" s="58" t="str">
        <f t="shared" si="32"/>
        <v>AD</v>
      </c>
      <c r="M42" s="60" t="str">
        <f t="shared" si="33"/>
        <v>HyderabadEast Bengal</v>
      </c>
      <c r="N42" s="61"/>
      <c r="U42" s="15"/>
      <c r="W42" s="15"/>
      <c r="X42" s="15"/>
      <c r="AA42" s="15"/>
      <c r="AF42" s="15"/>
      <c r="AG42" s="62"/>
      <c r="AH42" s="15"/>
    </row>
    <row r="43" spans="2:34" x14ac:dyDescent="0.2">
      <c r="B43" s="103">
        <v>44554</v>
      </c>
      <c r="C43" s="50">
        <v>40</v>
      </c>
      <c r="D43" s="81" t="s">
        <v>81</v>
      </c>
      <c r="E43" s="125">
        <v>1</v>
      </c>
      <c r="F43" s="125">
        <v>1</v>
      </c>
      <c r="G43" s="81" t="s">
        <v>80</v>
      </c>
      <c r="H43" s="58"/>
      <c r="I43" s="58"/>
      <c r="J43" s="58"/>
      <c r="K43" s="58" t="str">
        <f t="shared" si="31"/>
        <v>HD</v>
      </c>
      <c r="L43" s="58" t="str">
        <f t="shared" si="32"/>
        <v>AD</v>
      </c>
      <c r="M43" s="60" t="str">
        <f t="shared" si="33"/>
        <v>OdishaGoa</v>
      </c>
      <c r="N43" s="61"/>
      <c r="W43" s="15"/>
      <c r="X43" s="15"/>
      <c r="AA43" s="15"/>
      <c r="AF43" s="15"/>
      <c r="AG43" s="62"/>
      <c r="AH43" s="15"/>
    </row>
    <row r="44" spans="2:34" x14ac:dyDescent="0.2">
      <c r="B44" s="103">
        <v>44556</v>
      </c>
      <c r="C44" s="50">
        <v>41</v>
      </c>
      <c r="D44" s="81" t="s">
        <v>78</v>
      </c>
      <c r="E44" s="125">
        <v>1</v>
      </c>
      <c r="F44" s="125">
        <v>1</v>
      </c>
      <c r="G44" s="81" t="s">
        <v>82</v>
      </c>
      <c r="H44" s="58"/>
      <c r="I44" s="58"/>
      <c r="J44" s="58"/>
      <c r="K44" s="58" t="str">
        <f t="shared" si="31"/>
        <v>HD</v>
      </c>
      <c r="L44" s="58" t="str">
        <f t="shared" si="32"/>
        <v>AD</v>
      </c>
      <c r="M44" s="60" t="str">
        <f t="shared" si="33"/>
        <v>Kerala BlastersJamshedpur</v>
      </c>
      <c r="N44" s="61"/>
      <c r="Q44" s="15"/>
      <c r="R44" s="15"/>
      <c r="W44" s="15"/>
      <c r="X44" s="15"/>
      <c r="AA44" s="61"/>
      <c r="AF44" s="15"/>
      <c r="AG44" s="62"/>
      <c r="AH44" s="15"/>
    </row>
    <row r="45" spans="2:34" x14ac:dyDescent="0.2">
      <c r="B45" s="103">
        <v>44557</v>
      </c>
      <c r="C45" s="50">
        <v>42</v>
      </c>
      <c r="D45" s="81" t="s">
        <v>79</v>
      </c>
      <c r="E45" s="125">
        <v>3</v>
      </c>
      <c r="F45" s="125">
        <v>3</v>
      </c>
      <c r="G45" s="81" t="s">
        <v>86</v>
      </c>
      <c r="H45" s="58"/>
      <c r="I45" s="58"/>
      <c r="J45" s="58"/>
      <c r="K45" s="58" t="str">
        <f t="shared" si="31"/>
        <v>HD</v>
      </c>
      <c r="L45" s="58" t="str">
        <f t="shared" si="32"/>
        <v>AD</v>
      </c>
      <c r="M45" s="60" t="str">
        <f t="shared" si="33"/>
        <v>NorthEast UnitedMumbai City</v>
      </c>
      <c r="N45" s="61"/>
      <c r="Q45" s="64"/>
      <c r="R45" s="15"/>
      <c r="W45" s="15"/>
      <c r="X45" s="15"/>
      <c r="AA45" s="61"/>
      <c r="AF45" s="15"/>
      <c r="AG45" s="62"/>
      <c r="AH45" s="15"/>
    </row>
    <row r="46" spans="2:34" x14ac:dyDescent="0.2">
      <c r="B46" s="103">
        <v>44558</v>
      </c>
      <c r="C46" s="50">
        <v>43</v>
      </c>
      <c r="D46" s="81" t="s">
        <v>85</v>
      </c>
      <c r="E46" s="125">
        <v>6</v>
      </c>
      <c r="F46" s="125">
        <v>1</v>
      </c>
      <c r="G46" s="81" t="s">
        <v>81</v>
      </c>
      <c r="H46" s="58"/>
      <c r="I46" s="58"/>
      <c r="J46" s="58"/>
      <c r="K46" s="58" t="str">
        <f t="shared" si="31"/>
        <v>HW</v>
      </c>
      <c r="L46" s="58" t="str">
        <f t="shared" si="32"/>
        <v>AL</v>
      </c>
      <c r="M46" s="60" t="str">
        <f t="shared" si="33"/>
        <v>HyderabadOdisha</v>
      </c>
      <c r="N46" s="61"/>
      <c r="Q46" s="64"/>
      <c r="R46" s="15"/>
      <c r="W46" s="15"/>
      <c r="X46" s="15"/>
      <c r="AA46" s="61"/>
      <c r="AF46" s="15"/>
      <c r="AG46" s="62"/>
      <c r="AH46" s="15"/>
    </row>
    <row r="47" spans="2:34" x14ac:dyDescent="0.2">
      <c r="B47" s="103">
        <v>44559</v>
      </c>
      <c r="C47" s="50">
        <v>44</v>
      </c>
      <c r="D47" s="81" t="s">
        <v>76</v>
      </c>
      <c r="E47" s="125">
        <v>2</v>
      </c>
      <c r="F47" s="125">
        <v>1</v>
      </c>
      <c r="G47" s="81" t="s">
        <v>80</v>
      </c>
      <c r="H47" s="58"/>
      <c r="I47" s="58"/>
      <c r="J47" s="58"/>
      <c r="K47" s="58" t="str">
        <f t="shared" si="31"/>
        <v>HW</v>
      </c>
      <c r="L47" s="58" t="str">
        <f t="shared" si="32"/>
        <v>AL</v>
      </c>
      <c r="M47" s="60" t="str">
        <f t="shared" si="33"/>
        <v>ATK-MBGoa</v>
      </c>
      <c r="N47" s="61"/>
      <c r="Q47" s="15"/>
      <c r="R47" s="15"/>
      <c r="W47" s="15"/>
      <c r="X47" s="15"/>
      <c r="AA47" s="61"/>
      <c r="AF47" s="15"/>
      <c r="AG47" s="62"/>
      <c r="AH47" s="15"/>
    </row>
    <row r="48" spans="2:34" ht="15" customHeight="1" x14ac:dyDescent="0.2">
      <c r="B48" s="103">
        <v>44560</v>
      </c>
      <c r="C48" s="50">
        <v>45</v>
      </c>
      <c r="D48" s="81" t="s">
        <v>84</v>
      </c>
      <c r="E48" s="125">
        <v>2</v>
      </c>
      <c r="F48" s="125">
        <v>4</v>
      </c>
      <c r="G48" s="81" t="s">
        <v>83</v>
      </c>
      <c r="H48" s="58"/>
      <c r="I48" s="58"/>
      <c r="J48" s="58"/>
      <c r="K48" s="58" t="str">
        <f t="shared" si="31"/>
        <v>HL</v>
      </c>
      <c r="L48" s="58" t="str">
        <f t="shared" si="32"/>
        <v>AW</v>
      </c>
      <c r="M48" s="60" t="str">
        <f t="shared" si="33"/>
        <v>ChennaiyinBengaluru</v>
      </c>
      <c r="N48" s="61"/>
      <c r="P48" s="62"/>
      <c r="Q48" s="15"/>
      <c r="R48" s="15"/>
      <c r="U48" s="15"/>
      <c r="V48" s="61"/>
      <c r="W48" s="15"/>
      <c r="X48" s="15"/>
      <c r="AA48" s="61"/>
      <c r="AF48" s="15"/>
      <c r="AG48" s="62"/>
      <c r="AH48" s="15"/>
    </row>
    <row r="49" spans="2:34" x14ac:dyDescent="0.2">
      <c r="B49" s="103">
        <v>44563</v>
      </c>
      <c r="C49" s="50">
        <v>46</v>
      </c>
      <c r="D49" s="81" t="s">
        <v>78</v>
      </c>
      <c r="E49" s="125">
        <v>2</v>
      </c>
      <c r="F49" s="125">
        <v>2</v>
      </c>
      <c r="G49" s="81" t="s">
        <v>80</v>
      </c>
      <c r="H49" s="58"/>
      <c r="I49" s="58"/>
      <c r="J49" s="58"/>
      <c r="K49" s="58" t="str">
        <f t="shared" si="31"/>
        <v>HD</v>
      </c>
      <c r="L49" s="58" t="str">
        <f t="shared" si="32"/>
        <v>AD</v>
      </c>
      <c r="M49" s="60" t="str">
        <f t="shared" si="33"/>
        <v>Kerala BlastersGoa</v>
      </c>
      <c r="N49" s="61"/>
      <c r="P49" s="62"/>
      <c r="Q49" s="15"/>
      <c r="R49" s="15"/>
      <c r="U49" s="15"/>
      <c r="V49" s="61"/>
      <c r="W49" s="15"/>
      <c r="X49" s="15"/>
      <c r="AA49" s="61"/>
      <c r="AF49" s="15"/>
      <c r="AH49" s="15"/>
    </row>
    <row r="50" spans="2:34" x14ac:dyDescent="0.2">
      <c r="B50" s="103">
        <v>44563</v>
      </c>
      <c r="C50" s="50">
        <v>47</v>
      </c>
      <c r="D50" s="81" t="s">
        <v>82</v>
      </c>
      <c r="E50" s="125">
        <v>0</v>
      </c>
      <c r="F50" s="125">
        <v>1</v>
      </c>
      <c r="G50" s="81" t="s">
        <v>84</v>
      </c>
      <c r="H50" s="58"/>
      <c r="I50" s="58"/>
      <c r="J50" s="58"/>
      <c r="K50" s="58" t="str">
        <f t="shared" si="31"/>
        <v>HL</v>
      </c>
      <c r="L50" s="58" t="str">
        <f t="shared" si="32"/>
        <v>AW</v>
      </c>
      <c r="M50" s="60" t="str">
        <f t="shared" si="33"/>
        <v>JamshedpurChennaiyin</v>
      </c>
      <c r="N50" s="61"/>
      <c r="P50" s="62"/>
      <c r="Q50" s="15"/>
      <c r="R50" s="15"/>
      <c r="U50" s="15"/>
      <c r="V50" s="61"/>
      <c r="W50" s="15"/>
      <c r="X50" s="15"/>
      <c r="AA50" s="61"/>
      <c r="AF50" s="15"/>
    </row>
    <row r="51" spans="2:34" x14ac:dyDescent="0.2">
      <c r="B51" s="103">
        <v>44564</v>
      </c>
      <c r="C51" s="50">
        <v>48</v>
      </c>
      <c r="D51" s="81" t="s">
        <v>81</v>
      </c>
      <c r="E51" s="125">
        <v>4</v>
      </c>
      <c r="F51" s="125">
        <v>2</v>
      </c>
      <c r="G51" s="81" t="s">
        <v>86</v>
      </c>
      <c r="H51" s="58"/>
      <c r="I51" s="58"/>
      <c r="J51" s="58"/>
      <c r="K51" s="58" t="str">
        <f t="shared" si="31"/>
        <v>HW</v>
      </c>
      <c r="L51" s="58" t="str">
        <f t="shared" si="32"/>
        <v>AL</v>
      </c>
      <c r="M51" s="60" t="str">
        <f t="shared" si="33"/>
        <v>OdishaMumbai City</v>
      </c>
      <c r="N51" s="61"/>
      <c r="P51" s="62"/>
      <c r="Q51" s="15"/>
      <c r="R51" s="15"/>
      <c r="U51" s="15"/>
      <c r="V51" s="61"/>
      <c r="W51" s="15"/>
      <c r="X51" s="15"/>
      <c r="AA51" s="61"/>
      <c r="AF51" s="15"/>
    </row>
    <row r="52" spans="2:34" x14ac:dyDescent="0.2">
      <c r="B52" s="103">
        <v>44565</v>
      </c>
      <c r="C52" s="50">
        <v>49</v>
      </c>
      <c r="D52" s="81" t="s">
        <v>83</v>
      </c>
      <c r="E52" s="125">
        <v>1</v>
      </c>
      <c r="F52" s="125">
        <v>1</v>
      </c>
      <c r="G52" s="81" t="s">
        <v>77</v>
      </c>
      <c r="H52" s="58"/>
      <c r="I52" s="58"/>
      <c r="J52" s="58"/>
      <c r="K52" s="58" t="str">
        <f t="shared" si="31"/>
        <v>HD</v>
      </c>
      <c r="L52" s="58" t="str">
        <f t="shared" si="32"/>
        <v>AD</v>
      </c>
      <c r="M52" s="60" t="str">
        <f t="shared" si="33"/>
        <v>BengaluruEast Bengal</v>
      </c>
      <c r="N52" s="61"/>
      <c r="P52" s="62"/>
      <c r="Q52" s="15"/>
      <c r="R52" s="15"/>
      <c r="U52" s="15"/>
      <c r="V52" s="61"/>
      <c r="W52" s="15"/>
      <c r="X52" s="15"/>
      <c r="AA52" s="61"/>
      <c r="AF52" s="15"/>
    </row>
    <row r="53" spans="2:34" x14ac:dyDescent="0.2">
      <c r="B53" s="103">
        <v>44566</v>
      </c>
      <c r="C53" s="50">
        <v>50</v>
      </c>
      <c r="D53" s="81" t="s">
        <v>76</v>
      </c>
      <c r="E53" s="125">
        <v>2</v>
      </c>
      <c r="F53" s="125">
        <v>2</v>
      </c>
      <c r="G53" s="81" t="s">
        <v>85</v>
      </c>
      <c r="H53" s="58"/>
      <c r="I53" s="58"/>
      <c r="J53" s="58"/>
      <c r="K53" s="58" t="str">
        <f t="shared" si="31"/>
        <v>HD</v>
      </c>
      <c r="L53" s="58" t="str">
        <f t="shared" si="32"/>
        <v>AD</v>
      </c>
      <c r="M53" s="60" t="str">
        <f t="shared" si="33"/>
        <v>ATK-MBHyderabad</v>
      </c>
      <c r="N53" s="61"/>
      <c r="P53" s="62"/>
      <c r="Q53" s="15"/>
      <c r="R53" s="15"/>
      <c r="U53" s="15"/>
      <c r="V53" s="61"/>
      <c r="W53" s="15"/>
      <c r="X53" s="15"/>
      <c r="AA53" s="61"/>
      <c r="AF53" s="15"/>
    </row>
    <row r="54" spans="2:34" ht="17" customHeight="1" x14ac:dyDescent="0.2">
      <c r="B54" s="103">
        <v>44567</v>
      </c>
      <c r="C54" s="50">
        <v>51</v>
      </c>
      <c r="D54" s="81" t="s">
        <v>82</v>
      </c>
      <c r="E54" s="125">
        <v>3</v>
      </c>
      <c r="F54" s="125">
        <v>2</v>
      </c>
      <c r="G54" s="81" t="s">
        <v>79</v>
      </c>
      <c r="H54" s="58"/>
      <c r="I54" s="58"/>
      <c r="J54" s="58"/>
      <c r="K54" s="58" t="str">
        <f t="shared" si="31"/>
        <v>HW</v>
      </c>
      <c r="L54" s="58" t="str">
        <f t="shared" si="32"/>
        <v>AL</v>
      </c>
      <c r="M54" s="60" t="str">
        <f t="shared" si="33"/>
        <v>JamshedpurNorthEast United</v>
      </c>
      <c r="N54" s="61"/>
      <c r="P54" s="62"/>
      <c r="Q54" s="15"/>
      <c r="U54" s="15"/>
      <c r="V54" s="61"/>
      <c r="W54" s="15"/>
      <c r="X54" s="15"/>
      <c r="AA54" s="61"/>
      <c r="AF54" s="15"/>
    </row>
    <row r="55" spans="2:34" x14ac:dyDescent="0.2">
      <c r="B55" s="103">
        <v>44568</v>
      </c>
      <c r="C55" s="50">
        <v>52</v>
      </c>
      <c r="D55" s="81" t="s">
        <v>77</v>
      </c>
      <c r="E55" s="125">
        <v>0</v>
      </c>
      <c r="F55" s="125">
        <v>0</v>
      </c>
      <c r="G55" s="81" t="s">
        <v>86</v>
      </c>
      <c r="H55" s="58"/>
      <c r="I55" s="58"/>
      <c r="J55" s="58"/>
      <c r="K55" s="58" t="str">
        <f t="shared" si="31"/>
        <v>HD</v>
      </c>
      <c r="L55" s="58" t="str">
        <f t="shared" si="32"/>
        <v>AD</v>
      </c>
      <c r="M55" s="60" t="str">
        <f t="shared" si="33"/>
        <v>East BengalMumbai City</v>
      </c>
      <c r="N55" s="61"/>
      <c r="P55" s="62"/>
      <c r="U55" s="15"/>
      <c r="V55" s="61"/>
      <c r="W55" s="15"/>
      <c r="X55" s="15"/>
    </row>
    <row r="56" spans="2:34" x14ac:dyDescent="0.2">
      <c r="B56" s="103">
        <v>44569</v>
      </c>
      <c r="C56" s="50">
        <v>53</v>
      </c>
      <c r="D56" s="81" t="s">
        <v>76</v>
      </c>
      <c r="E56" s="125"/>
      <c r="F56" s="125"/>
      <c r="G56" s="81" t="s">
        <v>81</v>
      </c>
      <c r="H56" s="58"/>
      <c r="I56" s="58"/>
      <c r="J56" s="58"/>
      <c r="K56" s="58" t="str">
        <f t="shared" si="31"/>
        <v/>
      </c>
      <c r="L56" s="58" t="str">
        <f t="shared" si="32"/>
        <v/>
      </c>
      <c r="M56" s="60" t="str">
        <f t="shared" si="33"/>
        <v>ATK-MBOdisha</v>
      </c>
      <c r="N56" s="61"/>
      <c r="P56" s="62"/>
      <c r="U56" s="15"/>
      <c r="V56" s="61"/>
      <c r="W56" s="15"/>
      <c r="X56" s="15"/>
    </row>
    <row r="57" spans="2:34" x14ac:dyDescent="0.2">
      <c r="B57" s="103">
        <v>44570</v>
      </c>
      <c r="C57" s="50">
        <v>54</v>
      </c>
      <c r="D57" s="81" t="s">
        <v>80</v>
      </c>
      <c r="E57" s="125">
        <v>1</v>
      </c>
      <c r="F57" s="125">
        <v>0</v>
      </c>
      <c r="G57" s="81" t="s">
        <v>84</v>
      </c>
      <c r="H57" s="58"/>
      <c r="I57" s="58"/>
      <c r="J57" s="58"/>
      <c r="K57" s="58" t="str">
        <f t="shared" si="31"/>
        <v>HW</v>
      </c>
      <c r="L57" s="58" t="str">
        <f t="shared" si="32"/>
        <v>AL</v>
      </c>
      <c r="M57" s="60" t="str">
        <f t="shared" si="33"/>
        <v>GoaChennaiyin</v>
      </c>
      <c r="N57" s="61"/>
      <c r="P57" s="62"/>
      <c r="U57" s="15"/>
      <c r="V57" s="61"/>
      <c r="W57" s="15"/>
      <c r="X57" s="15"/>
    </row>
    <row r="58" spans="2:34" x14ac:dyDescent="0.2">
      <c r="B58" s="103">
        <v>44570</v>
      </c>
      <c r="C58" s="50">
        <v>55</v>
      </c>
      <c r="D58" s="81" t="s">
        <v>78</v>
      </c>
      <c r="E58" s="125">
        <v>1</v>
      </c>
      <c r="F58" s="125">
        <v>0</v>
      </c>
      <c r="G58" s="81" t="s">
        <v>85</v>
      </c>
      <c r="H58" s="58"/>
      <c r="I58" s="58"/>
      <c r="J58" s="58"/>
      <c r="K58" s="58" t="str">
        <f t="shared" si="31"/>
        <v>HW</v>
      </c>
      <c r="L58" s="58" t="str">
        <f t="shared" si="32"/>
        <v>AL</v>
      </c>
      <c r="M58" s="60" t="str">
        <f t="shared" si="33"/>
        <v>Kerala BlastersHyderabad</v>
      </c>
      <c r="N58" s="61"/>
      <c r="X58" s="15"/>
    </row>
    <row r="59" spans="2:34" x14ac:dyDescent="0.2">
      <c r="B59" s="103">
        <v>44572</v>
      </c>
      <c r="C59" s="50">
        <v>56</v>
      </c>
      <c r="D59" s="124" t="s">
        <v>86</v>
      </c>
      <c r="E59" s="125">
        <v>0</v>
      </c>
      <c r="F59" s="125">
        <v>3</v>
      </c>
      <c r="G59" s="124" t="s">
        <v>83</v>
      </c>
      <c r="H59" s="58"/>
      <c r="I59" s="58"/>
      <c r="J59" s="58"/>
      <c r="K59" s="58" t="str">
        <f t="shared" si="31"/>
        <v>HL</v>
      </c>
      <c r="L59" s="58" t="str">
        <f t="shared" si="32"/>
        <v>AW</v>
      </c>
      <c r="M59" s="60" t="str">
        <f t="shared" si="33"/>
        <v>Mumbai CityBengaluru</v>
      </c>
      <c r="N59" s="61"/>
      <c r="S59" s="64"/>
    </row>
    <row r="60" spans="2:34" x14ac:dyDescent="0.2">
      <c r="B60" s="103">
        <v>44573</v>
      </c>
      <c r="C60" s="50">
        <v>57</v>
      </c>
      <c r="D60" s="124" t="s">
        <v>82</v>
      </c>
      <c r="E60" s="125">
        <v>1</v>
      </c>
      <c r="F60" s="125">
        <v>0</v>
      </c>
      <c r="G60" s="124" t="s">
        <v>77</v>
      </c>
      <c r="H60" s="58"/>
      <c r="I60" s="58"/>
      <c r="J60" s="58"/>
      <c r="K60" s="58" t="str">
        <f t="shared" si="31"/>
        <v>HW</v>
      </c>
      <c r="L60" s="58" t="str">
        <f t="shared" si="32"/>
        <v>AL</v>
      </c>
      <c r="M60" s="60" t="str">
        <f t="shared" si="33"/>
        <v>JamshedpurEast Bengal</v>
      </c>
      <c r="N60" s="61"/>
      <c r="S60" s="64"/>
    </row>
    <row r="61" spans="2:34" x14ac:dyDescent="0.2">
      <c r="B61" s="103">
        <v>44574</v>
      </c>
      <c r="C61" s="50">
        <v>58</v>
      </c>
      <c r="D61" s="124" t="s">
        <v>81</v>
      </c>
      <c r="E61" s="125">
        <v>0</v>
      </c>
      <c r="F61" s="125">
        <v>2</v>
      </c>
      <c r="G61" s="124" t="s">
        <v>78</v>
      </c>
      <c r="H61" s="58"/>
      <c r="I61" s="58"/>
      <c r="J61" s="58"/>
      <c r="K61" s="58" t="str">
        <f t="shared" si="31"/>
        <v>HL</v>
      </c>
      <c r="L61" s="58" t="str">
        <f t="shared" si="32"/>
        <v>AW</v>
      </c>
      <c r="M61" s="60" t="str">
        <f t="shared" si="33"/>
        <v>OdishaKerala Blasters</v>
      </c>
      <c r="N61" s="61"/>
    </row>
    <row r="62" spans="2:34" x14ac:dyDescent="0.2">
      <c r="B62" s="103">
        <v>44575</v>
      </c>
      <c r="C62" s="50">
        <v>59</v>
      </c>
      <c r="D62" s="124" t="s">
        <v>84</v>
      </c>
      <c r="E62" s="125">
        <v>1</v>
      </c>
      <c r="F62" s="125">
        <v>1</v>
      </c>
      <c r="G62" s="124" t="s">
        <v>85</v>
      </c>
      <c r="H62" s="58"/>
      <c r="I62" s="58"/>
      <c r="J62" s="58"/>
      <c r="K62" s="58" t="str">
        <f t="shared" si="31"/>
        <v>HD</v>
      </c>
      <c r="L62" s="58" t="str">
        <f t="shared" si="32"/>
        <v>AD</v>
      </c>
      <c r="M62" s="60" t="str">
        <f t="shared" si="33"/>
        <v>ChennaiyinHyderabad</v>
      </c>
      <c r="N62" s="61"/>
    </row>
    <row r="63" spans="2:34" x14ac:dyDescent="0.2">
      <c r="B63" s="103">
        <v>44576</v>
      </c>
      <c r="C63" s="50">
        <v>60</v>
      </c>
      <c r="D63" s="124" t="s">
        <v>80</v>
      </c>
      <c r="E63" s="125">
        <v>1</v>
      </c>
      <c r="F63" s="125">
        <v>1</v>
      </c>
      <c r="G63" s="124" t="s">
        <v>79</v>
      </c>
      <c r="H63" s="67"/>
      <c r="I63" s="67"/>
      <c r="J63" s="67"/>
      <c r="K63" s="58" t="str">
        <f t="shared" si="31"/>
        <v>HD</v>
      </c>
      <c r="L63" s="58" t="str">
        <f t="shared" si="32"/>
        <v>AD</v>
      </c>
      <c r="M63" s="60" t="str">
        <f t="shared" si="33"/>
        <v>GoaNorthEast United</v>
      </c>
      <c r="N63" s="61"/>
    </row>
    <row r="64" spans="2:34" ht="16" customHeight="1" x14ac:dyDescent="0.2">
      <c r="B64" s="103">
        <v>44577</v>
      </c>
      <c r="C64" s="50">
        <v>61</v>
      </c>
      <c r="D64" s="124" t="s">
        <v>79</v>
      </c>
      <c r="E64" s="125">
        <v>0</v>
      </c>
      <c r="F64" s="125">
        <v>2</v>
      </c>
      <c r="G64" s="124" t="s">
        <v>81</v>
      </c>
      <c r="H64" s="67"/>
      <c r="I64" s="67"/>
      <c r="J64" s="67"/>
      <c r="K64" s="58" t="str">
        <f t="shared" si="31"/>
        <v>HL</v>
      </c>
      <c r="L64" s="58" t="str">
        <f t="shared" si="32"/>
        <v>AW</v>
      </c>
      <c r="M64" s="60" t="str">
        <f t="shared" si="33"/>
        <v>NorthEast UnitedOdisha</v>
      </c>
      <c r="N64" s="61"/>
    </row>
    <row r="65" spans="2:14" x14ac:dyDescent="0.2">
      <c r="B65" s="103">
        <v>44578</v>
      </c>
      <c r="C65" s="50">
        <v>62</v>
      </c>
      <c r="D65" s="124" t="s">
        <v>80</v>
      </c>
      <c r="E65" s="125">
        <v>1</v>
      </c>
      <c r="F65" s="125">
        <v>2</v>
      </c>
      <c r="G65" s="124" t="s">
        <v>77</v>
      </c>
      <c r="H65" s="67"/>
      <c r="I65" s="67"/>
      <c r="J65" s="67"/>
      <c r="K65" s="58" t="str">
        <f t="shared" si="31"/>
        <v>HL</v>
      </c>
      <c r="L65" s="58" t="str">
        <f t="shared" si="32"/>
        <v>AW</v>
      </c>
      <c r="M65" s="60" t="str">
        <f t="shared" si="33"/>
        <v>GoaEast Bengal</v>
      </c>
      <c r="N65" s="61"/>
    </row>
    <row r="66" spans="2:14" x14ac:dyDescent="0.2">
      <c r="B66" s="103">
        <v>44579</v>
      </c>
      <c r="C66" s="50">
        <v>63</v>
      </c>
      <c r="D66" s="124" t="s">
        <v>84</v>
      </c>
      <c r="E66" s="125">
        <v>2</v>
      </c>
      <c r="F66" s="125">
        <v>1</v>
      </c>
      <c r="G66" s="124" t="s">
        <v>79</v>
      </c>
      <c r="H66" s="67"/>
      <c r="I66" s="67"/>
      <c r="J66" s="67"/>
      <c r="K66" s="58" t="str">
        <f t="shared" si="31"/>
        <v>HW</v>
      </c>
      <c r="L66" s="58" t="str">
        <f t="shared" si="32"/>
        <v>AL</v>
      </c>
      <c r="M66" s="60" t="str">
        <f t="shared" si="33"/>
        <v>ChennaiyinNorthEast United</v>
      </c>
      <c r="N66" s="61"/>
    </row>
    <row r="67" spans="2:14" x14ac:dyDescent="0.2">
      <c r="B67" s="103">
        <v>44580</v>
      </c>
      <c r="C67" s="50">
        <v>64</v>
      </c>
      <c r="D67" s="124" t="s">
        <v>76</v>
      </c>
      <c r="E67" s="125">
        <v>0</v>
      </c>
      <c r="F67" s="125">
        <v>0</v>
      </c>
      <c r="G67" s="124" t="s">
        <v>81</v>
      </c>
      <c r="H67" s="58"/>
      <c r="I67" s="58"/>
      <c r="J67" s="58"/>
      <c r="K67" s="58" t="str">
        <f t="shared" si="31"/>
        <v>HD</v>
      </c>
      <c r="L67" s="58" t="str">
        <f t="shared" si="32"/>
        <v>AD</v>
      </c>
      <c r="M67" s="60" t="str">
        <f t="shared" si="33"/>
        <v>ATK-MBOdisha</v>
      </c>
      <c r="N67" s="61"/>
    </row>
    <row r="68" spans="2:14" x14ac:dyDescent="0.2">
      <c r="B68" s="103">
        <v>44581</v>
      </c>
      <c r="C68" s="50">
        <v>65</v>
      </c>
      <c r="D68" s="125" t="s">
        <v>83</v>
      </c>
      <c r="E68" s="125">
        <v>1</v>
      </c>
      <c r="F68" s="125">
        <v>1</v>
      </c>
      <c r="G68" s="125" t="s">
        <v>80</v>
      </c>
      <c r="H68" s="67"/>
      <c r="I68" s="67"/>
      <c r="J68" s="67"/>
      <c r="K68" s="58" t="str">
        <f t="shared" ref="K68:K99" si="34">IF(COUNT(E68),IF(E68&gt;F68,"HW",IF(E68=F68,"HD","HL")),"")</f>
        <v>HD</v>
      </c>
      <c r="L68" s="58" t="str">
        <f t="shared" ref="L68:L99" si="35">IF(COUNT(F68),IF(F68&gt;E68,"AW",IF(F68=E68,"AD","AL")),"")</f>
        <v>AD</v>
      </c>
      <c r="M68" s="60" t="str">
        <f t="shared" si="33"/>
        <v>BengaluruGoa</v>
      </c>
      <c r="N68" s="61"/>
    </row>
    <row r="69" spans="2:14" x14ac:dyDescent="0.2">
      <c r="B69" s="103">
        <v>44582</v>
      </c>
      <c r="C69" s="50">
        <v>66</v>
      </c>
      <c r="D69" s="125" t="s">
        <v>77</v>
      </c>
      <c r="E69" s="125">
        <v>0</v>
      </c>
      <c r="F69" s="125">
        <v>4</v>
      </c>
      <c r="G69" s="125" t="s">
        <v>85</v>
      </c>
      <c r="H69" s="67"/>
      <c r="I69" s="67"/>
      <c r="J69" s="67"/>
      <c r="K69" s="58" t="str">
        <f t="shared" si="34"/>
        <v>HL</v>
      </c>
      <c r="L69" s="58" t="str">
        <f t="shared" si="35"/>
        <v>AW</v>
      </c>
      <c r="M69" s="60" t="str">
        <f t="shared" ref="M69:M113" si="36">D69&amp;G69</f>
        <v>East BengalHyderabad</v>
      </c>
      <c r="N69" s="61"/>
    </row>
    <row r="70" spans="2:14" x14ac:dyDescent="0.2">
      <c r="B70" s="103">
        <v>44583</v>
      </c>
      <c r="C70" s="50">
        <v>67</v>
      </c>
      <c r="D70" s="125" t="s">
        <v>86</v>
      </c>
      <c r="E70" s="125">
        <v>1</v>
      </c>
      <c r="F70" s="125">
        <v>1</v>
      </c>
      <c r="G70" s="125" t="s">
        <v>79</v>
      </c>
      <c r="H70" s="58"/>
      <c r="I70" s="58"/>
      <c r="J70" s="58"/>
      <c r="K70" s="58" t="str">
        <f t="shared" si="34"/>
        <v>HD</v>
      </c>
      <c r="L70" s="58" t="str">
        <f t="shared" si="35"/>
        <v>AD</v>
      </c>
      <c r="M70" s="60" t="str">
        <f t="shared" si="36"/>
        <v>Mumbai CityNorthEast United</v>
      </c>
      <c r="N70" s="61"/>
    </row>
    <row r="71" spans="2:14" x14ac:dyDescent="0.2">
      <c r="B71" s="103">
        <v>44584</v>
      </c>
      <c r="C71" s="50">
        <v>68</v>
      </c>
      <c r="D71" s="125" t="s">
        <v>83</v>
      </c>
      <c r="E71" s="125">
        <v>3</v>
      </c>
      <c r="F71" s="125">
        <v>0</v>
      </c>
      <c r="G71" s="125" t="s">
        <v>84</v>
      </c>
      <c r="H71" s="58"/>
      <c r="I71" s="58"/>
      <c r="J71" s="58"/>
      <c r="K71" s="58" t="str">
        <f t="shared" si="34"/>
        <v>HW</v>
      </c>
      <c r="L71" s="58" t="str">
        <f t="shared" si="35"/>
        <v>AL</v>
      </c>
      <c r="M71" s="60" t="str">
        <f t="shared" si="36"/>
        <v>BengaluruChennaiyin</v>
      </c>
      <c r="N71" s="61"/>
    </row>
    <row r="72" spans="2:14" x14ac:dyDescent="0.2">
      <c r="B72" s="103">
        <v>44585</v>
      </c>
      <c r="C72" s="50">
        <v>69</v>
      </c>
      <c r="D72" s="125" t="s">
        <v>81</v>
      </c>
      <c r="E72" s="125">
        <v>2</v>
      </c>
      <c r="F72" s="125">
        <v>3</v>
      </c>
      <c r="G72" s="125" t="s">
        <v>85</v>
      </c>
      <c r="H72" s="58"/>
      <c r="I72" s="58"/>
      <c r="J72" s="58"/>
      <c r="K72" s="58" t="str">
        <f t="shared" si="34"/>
        <v>HL</v>
      </c>
      <c r="L72" s="58" t="str">
        <f t="shared" si="35"/>
        <v>AW</v>
      </c>
      <c r="M72" s="60" t="str">
        <f t="shared" si="36"/>
        <v>OdishaHyderabad</v>
      </c>
      <c r="N72" s="61"/>
    </row>
    <row r="73" spans="2:14" x14ac:dyDescent="0.2">
      <c r="B73" s="103">
        <v>44586</v>
      </c>
      <c r="C73" s="50">
        <v>70</v>
      </c>
      <c r="D73" s="125" t="s">
        <v>82</v>
      </c>
      <c r="E73" s="125">
        <v>1</v>
      </c>
      <c r="F73" s="125">
        <v>0</v>
      </c>
      <c r="G73" s="125" t="s">
        <v>80</v>
      </c>
      <c r="H73" s="67"/>
      <c r="I73" s="67"/>
      <c r="J73" s="67"/>
      <c r="K73" s="58" t="str">
        <f t="shared" si="34"/>
        <v>HW</v>
      </c>
      <c r="L73" s="58" t="str">
        <f t="shared" si="35"/>
        <v>AL</v>
      </c>
      <c r="M73" s="60" t="str">
        <f t="shared" si="36"/>
        <v>JamshedpurGoa</v>
      </c>
      <c r="N73" s="61"/>
    </row>
    <row r="74" spans="2:14" x14ac:dyDescent="0.2">
      <c r="B74" s="103">
        <v>44587</v>
      </c>
      <c r="C74" s="50">
        <v>71</v>
      </c>
      <c r="D74" s="125" t="s">
        <v>76</v>
      </c>
      <c r="E74" s="125">
        <v>3</v>
      </c>
      <c r="F74" s="125">
        <v>1</v>
      </c>
      <c r="G74" s="125" t="s">
        <v>77</v>
      </c>
      <c r="H74" s="58"/>
      <c r="I74" s="58"/>
      <c r="J74" s="58"/>
      <c r="K74" s="58" t="str">
        <f t="shared" si="34"/>
        <v>HW</v>
      </c>
      <c r="L74" s="58" t="str">
        <f t="shared" si="35"/>
        <v>AL</v>
      </c>
      <c r="M74" s="60" t="str">
        <f t="shared" si="36"/>
        <v>ATK-MBEast Bengal</v>
      </c>
      <c r="N74" s="61"/>
    </row>
    <row r="75" spans="2:14" x14ac:dyDescent="0.2">
      <c r="B75" s="103">
        <v>44588</v>
      </c>
      <c r="C75" s="50">
        <v>72</v>
      </c>
      <c r="D75" s="125" t="s">
        <v>78</v>
      </c>
      <c r="E75" s="125">
        <v>0</v>
      </c>
      <c r="F75" s="125">
        <v>1</v>
      </c>
      <c r="G75" s="125" t="s">
        <v>83</v>
      </c>
      <c r="H75" s="67"/>
      <c r="I75" s="67"/>
      <c r="J75" s="67"/>
      <c r="K75" s="58" t="str">
        <f t="shared" si="34"/>
        <v>HL</v>
      </c>
      <c r="L75" s="58" t="str">
        <f t="shared" si="35"/>
        <v>AW</v>
      </c>
      <c r="M75" s="60" t="str">
        <f t="shared" si="36"/>
        <v>Kerala BlastersBengaluru</v>
      </c>
      <c r="N75" s="61"/>
    </row>
    <row r="76" spans="2:14" x14ac:dyDescent="0.2">
      <c r="B76" s="103">
        <v>44589</v>
      </c>
      <c r="C76" s="50">
        <v>73</v>
      </c>
      <c r="D76" s="125" t="s">
        <v>79</v>
      </c>
      <c r="E76" s="125">
        <v>0</v>
      </c>
      <c r="F76" s="125">
        <v>5</v>
      </c>
      <c r="G76" s="125" t="s">
        <v>85</v>
      </c>
      <c r="H76" s="67"/>
      <c r="I76" s="67"/>
      <c r="J76" s="67"/>
      <c r="K76" s="58" t="str">
        <f t="shared" si="34"/>
        <v>HL</v>
      </c>
      <c r="L76" s="58" t="str">
        <f t="shared" si="35"/>
        <v>AW</v>
      </c>
      <c r="M76" s="60" t="str">
        <f t="shared" si="36"/>
        <v>NorthEast UnitedHyderabad</v>
      </c>
      <c r="N76" s="61"/>
    </row>
    <row r="77" spans="2:14" ht="17" customHeight="1" x14ac:dyDescent="0.2">
      <c r="B77" s="103">
        <v>44590</v>
      </c>
      <c r="C77" s="50">
        <v>74</v>
      </c>
      <c r="D77" s="125" t="s">
        <v>80</v>
      </c>
      <c r="E77" s="125">
        <v>1</v>
      </c>
      <c r="F77" s="125">
        <v>1</v>
      </c>
      <c r="G77" s="125" t="s">
        <v>81</v>
      </c>
      <c r="H77" s="58"/>
      <c r="I77" s="58"/>
      <c r="J77" s="58"/>
      <c r="K77" s="58" t="str">
        <f t="shared" si="34"/>
        <v>HD</v>
      </c>
      <c r="L77" s="58" t="str">
        <f t="shared" si="35"/>
        <v>AD</v>
      </c>
      <c r="M77" s="60" t="str">
        <f t="shared" si="36"/>
        <v>GoaOdisha</v>
      </c>
      <c r="N77" s="61"/>
    </row>
    <row r="78" spans="2:14" x14ac:dyDescent="0.2">
      <c r="B78" s="103">
        <v>44591</v>
      </c>
      <c r="C78" s="50">
        <v>75</v>
      </c>
      <c r="D78" s="125" t="s">
        <v>77</v>
      </c>
      <c r="E78" s="125">
        <v>2</v>
      </c>
      <c r="F78" s="125">
        <v>2</v>
      </c>
      <c r="G78" s="125" t="s">
        <v>84</v>
      </c>
      <c r="H78" s="67"/>
      <c r="I78" s="67"/>
      <c r="J78" s="67"/>
      <c r="K78" s="58" t="str">
        <f t="shared" si="34"/>
        <v>HD</v>
      </c>
      <c r="L78" s="58" t="str">
        <f t="shared" si="35"/>
        <v>AD</v>
      </c>
      <c r="M78" s="60" t="str">
        <f t="shared" si="36"/>
        <v>East BengalChennaiyin</v>
      </c>
      <c r="N78" s="61"/>
    </row>
    <row r="79" spans="2:14" x14ac:dyDescent="0.2">
      <c r="B79" s="103">
        <v>44592</v>
      </c>
      <c r="C79" s="50">
        <v>76</v>
      </c>
      <c r="D79" s="125" t="s">
        <v>86</v>
      </c>
      <c r="E79" s="125">
        <v>1</v>
      </c>
      <c r="F79" s="125">
        <v>1</v>
      </c>
      <c r="G79" s="125" t="s">
        <v>76</v>
      </c>
      <c r="H79" s="58"/>
      <c r="I79" s="58"/>
      <c r="J79" s="58"/>
      <c r="K79" s="58" t="str">
        <f t="shared" si="34"/>
        <v>HD</v>
      </c>
      <c r="L79" s="58" t="str">
        <f t="shared" si="35"/>
        <v>AD</v>
      </c>
      <c r="M79" s="60" t="str">
        <f t="shared" si="36"/>
        <v>Mumbai CityATK-MB</v>
      </c>
      <c r="N79" s="61"/>
    </row>
    <row r="80" spans="2:14" x14ac:dyDescent="0.2">
      <c r="B80" s="103">
        <v>44593</v>
      </c>
      <c r="C80" s="50">
        <v>77</v>
      </c>
      <c r="D80" s="125" t="s">
        <v>78</v>
      </c>
      <c r="E80" s="125"/>
      <c r="F80" s="125"/>
      <c r="G80" s="125" t="s">
        <v>79</v>
      </c>
      <c r="H80" s="67"/>
      <c r="I80" s="67"/>
      <c r="J80" s="67"/>
      <c r="K80" s="58" t="str">
        <f t="shared" si="34"/>
        <v/>
      </c>
      <c r="L80" s="58" t="str">
        <f t="shared" si="35"/>
        <v/>
      </c>
      <c r="M80" s="60" t="str">
        <f t="shared" si="36"/>
        <v>Kerala BlastersNorthEast United</v>
      </c>
      <c r="N80" s="61"/>
    </row>
    <row r="81" spans="2:14" x14ac:dyDescent="0.2">
      <c r="B81" s="103">
        <v>44594</v>
      </c>
      <c r="C81" s="50">
        <v>78</v>
      </c>
      <c r="D81" s="125" t="s">
        <v>83</v>
      </c>
      <c r="E81" s="125"/>
      <c r="F81" s="125"/>
      <c r="G81" s="125" t="s">
        <v>82</v>
      </c>
      <c r="H81" s="58"/>
      <c r="I81" s="58"/>
      <c r="J81" s="58"/>
      <c r="K81" s="58" t="str">
        <f t="shared" si="34"/>
        <v/>
      </c>
      <c r="L81" s="58" t="str">
        <f t="shared" si="35"/>
        <v/>
      </c>
      <c r="M81" s="60" t="str">
        <f t="shared" si="36"/>
        <v>BengaluruJamshedpur</v>
      </c>
      <c r="N81" s="61"/>
    </row>
    <row r="82" spans="2:14" x14ac:dyDescent="0.2">
      <c r="B82" s="103">
        <v>44595</v>
      </c>
      <c r="C82" s="50">
        <v>79</v>
      </c>
      <c r="D82" s="125" t="s">
        <v>84</v>
      </c>
      <c r="E82" s="125"/>
      <c r="F82" s="125"/>
      <c r="G82" s="125" t="s">
        <v>86</v>
      </c>
      <c r="H82" s="58"/>
      <c r="I82" s="58"/>
      <c r="J82" s="58"/>
      <c r="K82" s="58" t="str">
        <f t="shared" si="34"/>
        <v/>
      </c>
      <c r="L82" s="58" t="str">
        <f t="shared" si="35"/>
        <v/>
      </c>
      <c r="M82" s="60" t="str">
        <f t="shared" si="36"/>
        <v>ChennaiyinMumbai City</v>
      </c>
      <c r="N82" s="61"/>
    </row>
    <row r="83" spans="2:14" x14ac:dyDescent="0.2">
      <c r="B83" s="103">
        <v>44596</v>
      </c>
      <c r="C83" s="50">
        <v>80</v>
      </c>
      <c r="D83" s="125" t="s">
        <v>77</v>
      </c>
      <c r="E83" s="125"/>
      <c r="F83" s="125"/>
      <c r="G83" s="125" t="s">
        <v>81</v>
      </c>
      <c r="H83" s="58"/>
      <c r="I83" s="58"/>
      <c r="J83" s="58"/>
      <c r="K83" s="58" t="str">
        <f t="shared" si="34"/>
        <v/>
      </c>
      <c r="L83" s="58" t="str">
        <f t="shared" si="35"/>
        <v/>
      </c>
      <c r="M83" s="60" t="str">
        <f t="shared" si="36"/>
        <v>East BengalOdisha</v>
      </c>
      <c r="N83" s="61"/>
    </row>
    <row r="84" spans="2:14" x14ac:dyDescent="0.2">
      <c r="B84" s="103">
        <v>44597</v>
      </c>
      <c r="C84" s="50">
        <v>81</v>
      </c>
      <c r="D84" s="125" t="s">
        <v>85</v>
      </c>
      <c r="E84" s="125"/>
      <c r="F84" s="125"/>
      <c r="G84" s="125" t="s">
        <v>76</v>
      </c>
      <c r="H84" s="58"/>
      <c r="I84" s="58"/>
      <c r="J84" s="58"/>
      <c r="K84" s="58" t="str">
        <f t="shared" si="34"/>
        <v/>
      </c>
      <c r="L84" s="58" t="str">
        <f t="shared" si="35"/>
        <v/>
      </c>
      <c r="M84" s="60" t="str">
        <f t="shared" si="36"/>
        <v>HyderabadATK-MB</v>
      </c>
      <c r="N84" s="61"/>
    </row>
    <row r="85" spans="2:14" x14ac:dyDescent="0.2">
      <c r="B85" s="103">
        <v>44598</v>
      </c>
      <c r="C85" s="50">
        <v>82</v>
      </c>
      <c r="D85" s="125" t="s">
        <v>84</v>
      </c>
      <c r="E85" s="125"/>
      <c r="F85" s="125"/>
      <c r="G85" s="125" t="s">
        <v>80</v>
      </c>
      <c r="H85" s="58"/>
      <c r="I85" s="58"/>
      <c r="J85" s="58"/>
      <c r="K85" s="58" t="str">
        <f t="shared" si="34"/>
        <v/>
      </c>
      <c r="L85" s="58" t="str">
        <f t="shared" si="35"/>
        <v/>
      </c>
      <c r="M85" s="60" t="str">
        <f t="shared" si="36"/>
        <v>ChennaiyinGoa</v>
      </c>
      <c r="N85" s="61"/>
    </row>
    <row r="86" spans="2:14" x14ac:dyDescent="0.2">
      <c r="B86" s="103">
        <v>44599</v>
      </c>
      <c r="C86" s="50">
        <v>83</v>
      </c>
      <c r="D86" s="125" t="s">
        <v>82</v>
      </c>
      <c r="E86" s="125"/>
      <c r="F86" s="125"/>
      <c r="G86" s="125" t="s">
        <v>78</v>
      </c>
      <c r="H86" s="58"/>
      <c r="I86" s="58"/>
      <c r="J86" s="58"/>
      <c r="K86" s="58" t="str">
        <f t="shared" si="34"/>
        <v/>
      </c>
      <c r="L86" s="58" t="str">
        <f t="shared" si="35"/>
        <v/>
      </c>
      <c r="M86" s="60" t="str">
        <f t="shared" si="36"/>
        <v>JamshedpurKerala Blasters</v>
      </c>
      <c r="N86" s="61"/>
    </row>
    <row r="87" spans="2:14" x14ac:dyDescent="0.2">
      <c r="B87" s="103">
        <v>44600</v>
      </c>
      <c r="C87" s="50">
        <v>84</v>
      </c>
      <c r="D87" s="125" t="s">
        <v>83</v>
      </c>
      <c r="E87" s="125"/>
      <c r="F87" s="125"/>
      <c r="G87" s="125" t="s">
        <v>85</v>
      </c>
      <c r="H87" s="58"/>
      <c r="I87" s="58"/>
      <c r="J87" s="58"/>
      <c r="K87" s="58" t="str">
        <f t="shared" si="34"/>
        <v/>
      </c>
      <c r="L87" s="58" t="str">
        <f t="shared" si="35"/>
        <v/>
      </c>
      <c r="M87" s="60" t="str">
        <f t="shared" si="36"/>
        <v>BengaluruHyderabad</v>
      </c>
      <c r="N87" s="61"/>
    </row>
    <row r="88" spans="2:14" x14ac:dyDescent="0.2">
      <c r="B88" s="103">
        <v>44601</v>
      </c>
      <c r="C88" s="50">
        <v>85</v>
      </c>
      <c r="D88" s="125" t="s">
        <v>76</v>
      </c>
      <c r="E88" s="125"/>
      <c r="F88" s="125"/>
      <c r="G88" s="125" t="s">
        <v>79</v>
      </c>
      <c r="H88" s="58"/>
      <c r="I88" s="58"/>
      <c r="J88" s="58"/>
      <c r="K88" s="58" t="str">
        <f t="shared" si="34"/>
        <v/>
      </c>
      <c r="L88" s="58" t="str">
        <f t="shared" si="35"/>
        <v/>
      </c>
      <c r="M88" s="60" t="str">
        <f t="shared" si="36"/>
        <v>ATK-MBNorthEast United</v>
      </c>
      <c r="N88" s="61"/>
    </row>
    <row r="89" spans="2:14" x14ac:dyDescent="0.2">
      <c r="B89" s="103">
        <v>44602</v>
      </c>
      <c r="C89" s="50">
        <v>86</v>
      </c>
      <c r="D89" s="125" t="s">
        <v>86</v>
      </c>
      <c r="E89" s="125"/>
      <c r="F89" s="125"/>
      <c r="G89" s="125" t="s">
        <v>81</v>
      </c>
      <c r="H89" s="58"/>
      <c r="I89" s="58"/>
      <c r="J89" s="58"/>
      <c r="K89" s="58" t="str">
        <f t="shared" si="34"/>
        <v/>
      </c>
      <c r="L89" s="58" t="str">
        <f t="shared" si="35"/>
        <v/>
      </c>
      <c r="M89" s="60" t="str">
        <f t="shared" si="36"/>
        <v>Mumbai CityOdisha</v>
      </c>
      <c r="N89" s="61"/>
    </row>
    <row r="90" spans="2:14" x14ac:dyDescent="0.2">
      <c r="B90" s="103">
        <v>44603</v>
      </c>
      <c r="C90" s="50">
        <v>87</v>
      </c>
      <c r="D90" s="125" t="s">
        <v>78</v>
      </c>
      <c r="E90" s="125"/>
      <c r="F90" s="125"/>
      <c r="G90" s="125" t="s">
        <v>77</v>
      </c>
      <c r="H90" s="58"/>
      <c r="I90" s="58"/>
      <c r="J90" s="58"/>
      <c r="K90" s="58" t="str">
        <f t="shared" si="34"/>
        <v/>
      </c>
      <c r="L90" s="58" t="str">
        <f t="shared" si="35"/>
        <v/>
      </c>
      <c r="M90" s="60" t="str">
        <f t="shared" si="36"/>
        <v>Kerala BlastersEast Bengal</v>
      </c>
      <c r="N90" s="61"/>
    </row>
    <row r="91" spans="2:14" x14ac:dyDescent="0.2">
      <c r="B91" s="103">
        <v>44604</v>
      </c>
      <c r="C91" s="50">
        <v>88</v>
      </c>
      <c r="D91" s="125" t="s">
        <v>80</v>
      </c>
      <c r="E91" s="125"/>
      <c r="F91" s="125"/>
      <c r="G91" s="125" t="s">
        <v>76</v>
      </c>
      <c r="H91" s="58"/>
      <c r="I91" s="58"/>
      <c r="J91" s="58"/>
      <c r="K91" s="58" t="str">
        <f t="shared" si="34"/>
        <v/>
      </c>
      <c r="L91" s="58" t="str">
        <f t="shared" si="35"/>
        <v/>
      </c>
      <c r="M91" s="60" t="str">
        <f t="shared" si="36"/>
        <v>GoaATK-MB</v>
      </c>
      <c r="N91" s="61"/>
    </row>
    <row r="92" spans="2:14" x14ac:dyDescent="0.2">
      <c r="B92" s="103">
        <v>44605</v>
      </c>
      <c r="C92" s="50">
        <v>89</v>
      </c>
      <c r="D92" s="125" t="s">
        <v>81</v>
      </c>
      <c r="E92" s="125"/>
      <c r="F92" s="125"/>
      <c r="G92" s="125" t="s">
        <v>84</v>
      </c>
      <c r="H92" s="58"/>
      <c r="I92" s="58"/>
      <c r="J92" s="58"/>
      <c r="K92" s="58" t="str">
        <f t="shared" si="34"/>
        <v/>
      </c>
      <c r="L92" s="58" t="str">
        <f t="shared" si="35"/>
        <v/>
      </c>
      <c r="M92" s="60" t="str">
        <f t="shared" si="36"/>
        <v>OdishaChennaiyin</v>
      </c>
      <c r="N92" s="61"/>
    </row>
    <row r="93" spans="2:14" x14ac:dyDescent="0.2">
      <c r="B93" s="103">
        <v>44606</v>
      </c>
      <c r="C93" s="21">
        <v>90</v>
      </c>
      <c r="D93" s="125" t="s">
        <v>82</v>
      </c>
      <c r="E93" s="125"/>
      <c r="F93" s="125"/>
      <c r="G93" s="125" t="s">
        <v>86</v>
      </c>
      <c r="K93" s="21" t="str">
        <f t="shared" si="34"/>
        <v/>
      </c>
      <c r="L93" s="21" t="str">
        <f t="shared" si="35"/>
        <v/>
      </c>
      <c r="M93" s="60" t="str">
        <f t="shared" si="36"/>
        <v>JamshedpurMumbai City</v>
      </c>
      <c r="N93" s="61"/>
    </row>
    <row r="94" spans="2:14" x14ac:dyDescent="0.2">
      <c r="B94" s="103">
        <v>44607</v>
      </c>
      <c r="C94" s="50">
        <v>91</v>
      </c>
      <c r="D94" s="125" t="s">
        <v>79</v>
      </c>
      <c r="E94" s="125"/>
      <c r="F94" s="125"/>
      <c r="G94" s="125" t="s">
        <v>83</v>
      </c>
      <c r="H94" s="81"/>
      <c r="I94" s="81"/>
      <c r="J94" s="81"/>
      <c r="K94" s="81" t="str">
        <f t="shared" si="34"/>
        <v/>
      </c>
      <c r="L94" s="81" t="str">
        <f t="shared" si="35"/>
        <v/>
      </c>
      <c r="M94" s="60" t="str">
        <f t="shared" si="36"/>
        <v>NorthEast UnitedBengaluru</v>
      </c>
      <c r="N94" s="61"/>
    </row>
    <row r="95" spans="2:14" x14ac:dyDescent="0.2">
      <c r="B95" s="103">
        <v>44608</v>
      </c>
      <c r="C95" s="50">
        <v>92</v>
      </c>
      <c r="D95" s="125" t="s">
        <v>78</v>
      </c>
      <c r="E95" s="125"/>
      <c r="F95" s="125"/>
      <c r="G95" s="125" t="s">
        <v>76</v>
      </c>
      <c r="H95" s="81"/>
      <c r="I95" s="81"/>
      <c r="J95" s="81"/>
      <c r="K95" s="81" t="str">
        <f t="shared" si="34"/>
        <v/>
      </c>
      <c r="L95" s="81" t="str">
        <f t="shared" si="35"/>
        <v/>
      </c>
      <c r="M95" s="60" t="str">
        <f t="shared" si="36"/>
        <v>Kerala BlastersATK-MB</v>
      </c>
      <c r="N95" s="61"/>
    </row>
    <row r="96" spans="2:14" x14ac:dyDescent="0.2">
      <c r="B96" s="103">
        <v>44609</v>
      </c>
      <c r="C96" s="50">
        <v>93</v>
      </c>
      <c r="D96" s="125" t="s">
        <v>85</v>
      </c>
      <c r="E96" s="125"/>
      <c r="F96" s="125"/>
      <c r="G96" s="125" t="s">
        <v>80</v>
      </c>
      <c r="H96" s="81"/>
      <c r="I96" s="81"/>
      <c r="J96" s="81"/>
      <c r="K96" s="81" t="str">
        <f t="shared" si="34"/>
        <v/>
      </c>
      <c r="L96" s="81" t="str">
        <f t="shared" si="35"/>
        <v/>
      </c>
      <c r="M96" s="60" t="str">
        <f t="shared" si="36"/>
        <v>HyderabadGoa</v>
      </c>
      <c r="N96" s="61"/>
    </row>
    <row r="97" spans="2:14" x14ac:dyDescent="0.2">
      <c r="B97" s="103">
        <v>44610</v>
      </c>
      <c r="C97" s="50">
        <v>94</v>
      </c>
      <c r="D97" s="125" t="s">
        <v>84</v>
      </c>
      <c r="E97" s="125"/>
      <c r="F97" s="125"/>
      <c r="G97" s="125" t="s">
        <v>82</v>
      </c>
      <c r="H97" s="81"/>
      <c r="I97" s="81"/>
      <c r="J97" s="81"/>
      <c r="K97" s="81" t="str">
        <f t="shared" si="34"/>
        <v/>
      </c>
      <c r="L97" s="81" t="str">
        <f t="shared" si="35"/>
        <v/>
      </c>
      <c r="M97" s="60" t="str">
        <f t="shared" si="36"/>
        <v>ChennaiyinJamshedpur</v>
      </c>
      <c r="N97" s="61"/>
    </row>
    <row r="98" spans="2:14" x14ac:dyDescent="0.2">
      <c r="B98" s="103">
        <v>44611</v>
      </c>
      <c r="C98" s="21">
        <v>95</v>
      </c>
      <c r="D98" s="125" t="s">
        <v>83</v>
      </c>
      <c r="E98" s="125"/>
      <c r="F98" s="125"/>
      <c r="G98" s="125" t="s">
        <v>81</v>
      </c>
      <c r="H98" s="81"/>
      <c r="I98" s="81"/>
      <c r="J98" s="81"/>
      <c r="K98" s="81" t="str">
        <f t="shared" si="34"/>
        <v/>
      </c>
      <c r="L98" s="81" t="str">
        <f t="shared" si="35"/>
        <v/>
      </c>
      <c r="M98" s="60" t="str">
        <f t="shared" si="36"/>
        <v>BengaluruOdisha</v>
      </c>
      <c r="N98" s="61"/>
    </row>
    <row r="99" spans="2:14" x14ac:dyDescent="0.2">
      <c r="B99" s="103">
        <v>44612</v>
      </c>
      <c r="C99" s="50">
        <v>96</v>
      </c>
      <c r="D99" s="125" t="s">
        <v>86</v>
      </c>
      <c r="E99" s="125"/>
      <c r="F99" s="125"/>
      <c r="G99" s="125" t="s">
        <v>77</v>
      </c>
      <c r="H99" s="81"/>
      <c r="I99" s="81"/>
      <c r="J99" s="81"/>
      <c r="K99" s="81" t="str">
        <f t="shared" si="34"/>
        <v/>
      </c>
      <c r="L99" s="81" t="str">
        <f t="shared" si="35"/>
        <v/>
      </c>
      <c r="M99" s="60" t="str">
        <f t="shared" si="36"/>
        <v>Mumbai CityEast Bengal</v>
      </c>
      <c r="N99" s="61"/>
    </row>
    <row r="100" spans="2:14" x14ac:dyDescent="0.2">
      <c r="B100" s="103">
        <v>44613</v>
      </c>
      <c r="C100" s="50">
        <v>97</v>
      </c>
      <c r="D100" s="125" t="s">
        <v>85</v>
      </c>
      <c r="E100" s="125"/>
      <c r="F100" s="125"/>
      <c r="G100" s="125" t="s">
        <v>78</v>
      </c>
      <c r="H100" s="81"/>
      <c r="I100" s="81"/>
      <c r="J100" s="81"/>
      <c r="K100" s="81" t="str">
        <f t="shared" ref="K100:K117" si="37">IF(COUNT(E100),IF(E100&gt;F100,"HW",IF(E100=F100,"HD","HL")),"")</f>
        <v/>
      </c>
      <c r="L100" s="81" t="str">
        <f t="shared" ref="L100:L117" si="38">IF(COUNT(F100),IF(F100&gt;E100,"AW",IF(F100=E100,"AD","AL")),"")</f>
        <v/>
      </c>
      <c r="M100" s="60" t="str">
        <f t="shared" si="36"/>
        <v>HyderabadKerala Blasters</v>
      </c>
      <c r="N100" s="61"/>
    </row>
    <row r="101" spans="2:14" x14ac:dyDescent="0.2">
      <c r="B101" s="103">
        <v>44614</v>
      </c>
      <c r="C101" s="50">
        <v>98</v>
      </c>
      <c r="D101" s="125" t="s">
        <v>81</v>
      </c>
      <c r="E101" s="125"/>
      <c r="F101" s="125"/>
      <c r="G101" s="125" t="s">
        <v>76</v>
      </c>
      <c r="H101" s="81"/>
      <c r="I101" s="81"/>
      <c r="J101" s="81"/>
      <c r="K101" s="81" t="str">
        <f t="shared" si="37"/>
        <v/>
      </c>
      <c r="L101" s="81" t="str">
        <f t="shared" si="38"/>
        <v/>
      </c>
      <c r="M101" s="60" t="str">
        <f t="shared" si="36"/>
        <v>OdishaATK-MB</v>
      </c>
      <c r="N101" s="61"/>
    </row>
    <row r="102" spans="2:14" x14ac:dyDescent="0.2">
      <c r="B102" s="103">
        <v>44615</v>
      </c>
      <c r="C102" s="50">
        <v>99</v>
      </c>
      <c r="D102" s="125" t="s">
        <v>79</v>
      </c>
      <c r="E102" s="125"/>
      <c r="F102" s="125"/>
      <c r="G102" s="125" t="s">
        <v>82</v>
      </c>
      <c r="H102" s="81"/>
      <c r="I102" s="81"/>
      <c r="J102" s="81"/>
      <c r="K102" s="81" t="str">
        <f t="shared" si="37"/>
        <v/>
      </c>
      <c r="L102" s="81" t="str">
        <f t="shared" si="38"/>
        <v/>
      </c>
      <c r="M102" s="60" t="str">
        <f t="shared" si="36"/>
        <v>NorthEast UnitedJamshedpur</v>
      </c>
      <c r="N102" s="61"/>
    </row>
    <row r="103" spans="2:14" x14ac:dyDescent="0.2">
      <c r="B103" s="103">
        <v>44616</v>
      </c>
      <c r="C103" s="21">
        <v>100</v>
      </c>
      <c r="D103" s="125" t="s">
        <v>78</v>
      </c>
      <c r="E103" s="125"/>
      <c r="F103" s="125"/>
      <c r="G103" s="125" t="s">
        <v>84</v>
      </c>
      <c r="H103" s="81"/>
      <c r="I103" s="81"/>
      <c r="J103" s="81"/>
      <c r="K103" s="81" t="str">
        <f t="shared" si="37"/>
        <v/>
      </c>
      <c r="L103" s="81" t="str">
        <f t="shared" si="38"/>
        <v/>
      </c>
      <c r="M103" s="60" t="str">
        <f t="shared" si="36"/>
        <v>Kerala BlastersChennaiyin</v>
      </c>
      <c r="N103" s="61"/>
    </row>
    <row r="104" spans="2:14" x14ac:dyDescent="0.2">
      <c r="B104" s="103">
        <v>44617</v>
      </c>
      <c r="C104" s="50">
        <v>101</v>
      </c>
      <c r="D104" s="125" t="s">
        <v>80</v>
      </c>
      <c r="E104" s="125"/>
      <c r="F104" s="125"/>
      <c r="G104" s="125" t="s">
        <v>86</v>
      </c>
      <c r="H104" s="81"/>
      <c r="I104" s="81"/>
      <c r="J104" s="81"/>
      <c r="K104" s="81" t="str">
        <f t="shared" si="37"/>
        <v/>
      </c>
      <c r="L104" s="81" t="str">
        <f t="shared" si="38"/>
        <v/>
      </c>
      <c r="M104" s="60" t="str">
        <f t="shared" si="36"/>
        <v>GoaMumbai City</v>
      </c>
      <c r="N104" s="61"/>
    </row>
    <row r="105" spans="2:14" x14ac:dyDescent="0.2">
      <c r="B105" s="103">
        <v>44618</v>
      </c>
      <c r="C105" s="50">
        <v>102</v>
      </c>
      <c r="D105" s="125" t="s">
        <v>76</v>
      </c>
      <c r="E105" s="125"/>
      <c r="F105" s="125"/>
      <c r="G105" s="125" t="s">
        <v>83</v>
      </c>
      <c r="H105" s="81"/>
      <c r="I105" s="81"/>
      <c r="J105" s="81"/>
      <c r="K105" s="81" t="str">
        <f t="shared" si="37"/>
        <v/>
      </c>
      <c r="L105" s="81" t="str">
        <f t="shared" si="38"/>
        <v/>
      </c>
      <c r="M105" s="60" t="str">
        <f t="shared" si="36"/>
        <v>ATK-MBBengaluru</v>
      </c>
      <c r="N105" s="61"/>
    </row>
    <row r="106" spans="2:14" x14ac:dyDescent="0.2">
      <c r="B106" s="103">
        <v>44619</v>
      </c>
      <c r="C106" s="50">
        <v>103</v>
      </c>
      <c r="D106" s="125" t="s">
        <v>77</v>
      </c>
      <c r="E106" s="125"/>
      <c r="F106" s="125"/>
      <c r="G106" s="125" t="s">
        <v>79</v>
      </c>
      <c r="H106" s="81"/>
      <c r="I106" s="81"/>
      <c r="J106" s="81"/>
      <c r="K106" s="81" t="str">
        <f t="shared" si="37"/>
        <v/>
      </c>
      <c r="L106" s="81" t="str">
        <f t="shared" si="38"/>
        <v/>
      </c>
      <c r="M106" s="60" t="str">
        <f t="shared" si="36"/>
        <v>East BengalNorthEast United</v>
      </c>
      <c r="N106" s="61"/>
    </row>
    <row r="107" spans="2:14" x14ac:dyDescent="0.2">
      <c r="B107" s="103">
        <v>44620</v>
      </c>
      <c r="C107" s="50">
        <v>104</v>
      </c>
      <c r="D107" s="125" t="s">
        <v>85</v>
      </c>
      <c r="E107" s="125"/>
      <c r="F107" s="125"/>
      <c r="G107" s="125" t="s">
        <v>82</v>
      </c>
      <c r="H107" s="81"/>
      <c r="I107" s="81"/>
      <c r="J107" s="81"/>
      <c r="K107" s="81" t="str">
        <f t="shared" si="37"/>
        <v/>
      </c>
      <c r="L107" s="81" t="str">
        <f t="shared" si="38"/>
        <v/>
      </c>
      <c r="M107" s="60" t="str">
        <f t="shared" si="36"/>
        <v>HyderabadJamshedpur</v>
      </c>
      <c r="N107" s="61"/>
    </row>
    <row r="108" spans="2:14" x14ac:dyDescent="0.2">
      <c r="B108" s="103">
        <v>44621</v>
      </c>
      <c r="C108" s="21">
        <v>105</v>
      </c>
      <c r="D108" s="125" t="s">
        <v>78</v>
      </c>
      <c r="E108" s="125"/>
      <c r="F108" s="125"/>
      <c r="G108" s="125" t="s">
        <v>86</v>
      </c>
      <c r="H108" s="81"/>
      <c r="I108" s="81"/>
      <c r="J108" s="81"/>
      <c r="K108" s="81" t="str">
        <f t="shared" si="37"/>
        <v/>
      </c>
      <c r="L108" s="81" t="str">
        <f t="shared" si="38"/>
        <v/>
      </c>
      <c r="M108" s="60" t="str">
        <f t="shared" si="36"/>
        <v>Kerala BlastersMumbai City</v>
      </c>
      <c r="N108" s="61"/>
    </row>
    <row r="109" spans="2:14" x14ac:dyDescent="0.2">
      <c r="B109" s="103">
        <v>44622</v>
      </c>
      <c r="C109" s="50">
        <v>106</v>
      </c>
      <c r="D109" s="125" t="s">
        <v>84</v>
      </c>
      <c r="E109" s="125"/>
      <c r="F109" s="125"/>
      <c r="G109" s="125" t="s">
        <v>76</v>
      </c>
      <c r="H109" s="81"/>
      <c r="I109" s="81"/>
      <c r="J109" s="81"/>
      <c r="K109" s="81" t="str">
        <f t="shared" si="37"/>
        <v/>
      </c>
      <c r="L109" s="81" t="str">
        <f t="shared" si="38"/>
        <v/>
      </c>
      <c r="M109" s="60" t="str">
        <f t="shared" si="36"/>
        <v>ChennaiyinATK-MB</v>
      </c>
      <c r="N109" s="61"/>
    </row>
    <row r="110" spans="2:14" x14ac:dyDescent="0.2">
      <c r="B110" s="103">
        <v>44623</v>
      </c>
      <c r="C110" s="50">
        <v>107</v>
      </c>
      <c r="D110" s="125" t="s">
        <v>82</v>
      </c>
      <c r="E110" s="125"/>
      <c r="F110" s="125"/>
      <c r="G110" s="125" t="s">
        <v>81</v>
      </c>
      <c r="H110" s="81"/>
      <c r="I110" s="81"/>
      <c r="J110" s="81"/>
      <c r="K110" s="81" t="str">
        <f t="shared" si="37"/>
        <v/>
      </c>
      <c r="L110" s="81" t="str">
        <f t="shared" si="38"/>
        <v/>
      </c>
      <c r="M110" s="60" t="str">
        <f t="shared" si="36"/>
        <v>JamshedpurOdisha</v>
      </c>
      <c r="N110" s="61"/>
    </row>
    <row r="111" spans="2:14" x14ac:dyDescent="0.2">
      <c r="B111" s="103">
        <v>44624</v>
      </c>
      <c r="C111" s="50">
        <v>108</v>
      </c>
      <c r="D111" s="125" t="s">
        <v>77</v>
      </c>
      <c r="E111" s="125"/>
      <c r="F111" s="125"/>
      <c r="G111" s="125" t="s">
        <v>83</v>
      </c>
      <c r="H111" s="81"/>
      <c r="I111" s="81"/>
      <c r="J111" s="81"/>
      <c r="K111" s="81" t="str">
        <f t="shared" si="37"/>
        <v/>
      </c>
      <c r="L111" s="81" t="str">
        <f t="shared" si="38"/>
        <v/>
      </c>
      <c r="M111" s="60" t="str">
        <f t="shared" si="36"/>
        <v>East BengalBengaluru</v>
      </c>
      <c r="N111" s="61"/>
    </row>
    <row r="112" spans="2:14" x14ac:dyDescent="0.2">
      <c r="B112" s="103">
        <v>44625</v>
      </c>
      <c r="C112" s="50">
        <v>109</v>
      </c>
      <c r="D112" s="125" t="s">
        <v>85</v>
      </c>
      <c r="E112" s="125"/>
      <c r="F112" s="125"/>
      <c r="G112" s="125" t="s">
        <v>86</v>
      </c>
      <c r="H112" s="81"/>
      <c r="I112" s="81"/>
      <c r="J112" s="81"/>
      <c r="K112" s="81" t="str">
        <f t="shared" si="37"/>
        <v/>
      </c>
      <c r="L112" s="81" t="str">
        <f t="shared" si="38"/>
        <v/>
      </c>
      <c r="M112" s="60" t="str">
        <f t="shared" si="36"/>
        <v>HyderabadMumbai City</v>
      </c>
      <c r="N112" s="61"/>
    </row>
    <row r="113" spans="2:37" ht="17" thickBot="1" x14ac:dyDescent="0.25">
      <c r="B113" s="103">
        <v>44626</v>
      </c>
      <c r="C113" s="1">
        <v>110</v>
      </c>
      <c r="D113" s="127" t="s">
        <v>80</v>
      </c>
      <c r="E113" s="127"/>
      <c r="F113" s="127"/>
      <c r="G113" s="127" t="s">
        <v>78</v>
      </c>
      <c r="H113" s="59"/>
      <c r="I113" s="59"/>
      <c r="J113" s="59"/>
      <c r="K113" s="59" t="str">
        <f t="shared" si="37"/>
        <v/>
      </c>
      <c r="L113" s="59" t="str">
        <f t="shared" si="38"/>
        <v/>
      </c>
      <c r="M113" s="60" t="str">
        <f t="shared" si="36"/>
        <v>GoaKerala Blasters</v>
      </c>
      <c r="N113" s="61"/>
    </row>
    <row r="114" spans="2:37" x14ac:dyDescent="0.2">
      <c r="B114" s="57"/>
      <c r="C114" s="21" t="s">
        <v>51</v>
      </c>
      <c r="D114" s="58"/>
      <c r="E114" s="58"/>
      <c r="F114" s="58"/>
      <c r="G114" s="58"/>
      <c r="H114" s="58"/>
      <c r="I114" s="58"/>
      <c r="J114" s="58"/>
      <c r="K114" s="58" t="str">
        <f t="shared" si="37"/>
        <v/>
      </c>
      <c r="L114" s="58" t="str">
        <f t="shared" si="38"/>
        <v/>
      </c>
      <c r="M114" s="15"/>
      <c r="N114" s="61"/>
    </row>
    <row r="115" spans="2:37" x14ac:dyDescent="0.2">
      <c r="B115" s="57"/>
      <c r="C115" s="21" t="s">
        <v>52</v>
      </c>
      <c r="D115" s="58"/>
      <c r="E115" s="58"/>
      <c r="F115" s="58"/>
      <c r="G115" s="58"/>
      <c r="H115" s="58"/>
      <c r="I115" s="58"/>
      <c r="J115" s="58"/>
      <c r="K115" s="58" t="str">
        <f t="shared" si="37"/>
        <v/>
      </c>
      <c r="L115" s="58" t="str">
        <f t="shared" si="38"/>
        <v/>
      </c>
      <c r="M115" s="15"/>
      <c r="N115" s="61"/>
    </row>
    <row r="116" spans="2:37" s="104" customFormat="1" x14ac:dyDescent="0.2">
      <c r="B116" s="57"/>
      <c r="C116" s="104" t="s">
        <v>53</v>
      </c>
      <c r="D116" s="58"/>
      <c r="E116" s="58"/>
      <c r="F116" s="58"/>
      <c r="G116" s="58"/>
      <c r="H116" s="58"/>
      <c r="I116" s="58"/>
      <c r="J116" s="58"/>
      <c r="K116" s="58" t="str">
        <f t="shared" si="37"/>
        <v/>
      </c>
      <c r="L116" s="58" t="str">
        <f t="shared" si="38"/>
        <v/>
      </c>
      <c r="M116" s="105"/>
      <c r="N116" s="6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</row>
    <row r="117" spans="2:37" ht="17" thickBot="1" x14ac:dyDescent="0.25">
      <c r="B117" s="57"/>
      <c r="C117" s="21" t="s">
        <v>54</v>
      </c>
      <c r="D117" s="58"/>
      <c r="E117" s="58"/>
      <c r="F117" s="58"/>
      <c r="G117" s="58"/>
      <c r="H117" s="58"/>
      <c r="I117" s="58"/>
      <c r="J117" s="58"/>
      <c r="K117" s="58" t="str">
        <f t="shared" si="37"/>
        <v/>
      </c>
      <c r="L117" s="58" t="str">
        <f t="shared" si="38"/>
        <v/>
      </c>
      <c r="M117" s="15"/>
      <c r="N117" s="61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</row>
    <row r="118" spans="2:37" ht="17" thickBot="1" x14ac:dyDescent="0.25">
      <c r="B118" s="57"/>
      <c r="C118" s="68" t="s">
        <v>55</v>
      </c>
      <c r="D118" s="69"/>
      <c r="E118" s="69"/>
      <c r="F118" s="69"/>
      <c r="G118" s="106"/>
      <c r="H118" s="67"/>
      <c r="I118" s="67"/>
      <c r="J118" s="67"/>
      <c r="K118" s="58" t="str">
        <f t="shared" ref="K118" si="39">IF(COUNT(E118),IF(E118&gt;F118,"HW",IF(E118=F118,"HD","HL")),"")</f>
        <v/>
      </c>
      <c r="L118" s="58" t="str">
        <f t="shared" ref="L118" si="40">IF(COUNT(F118),IF(F118&gt;E118,"AW",IF(F118=E118,"AD","AL")),"")</f>
        <v/>
      </c>
      <c r="M118" s="15"/>
    </row>
  </sheetData>
  <mergeCells count="9">
    <mergeCell ref="U3:V3"/>
    <mergeCell ref="W3:X3"/>
    <mergeCell ref="Y3:Z3"/>
    <mergeCell ref="AA3:AB3"/>
    <mergeCell ref="E1:F1"/>
    <mergeCell ref="E2:F2"/>
    <mergeCell ref="K3:L3"/>
    <mergeCell ref="Q3:R3"/>
    <mergeCell ref="S3:T3"/>
  </mergeCells>
  <conditionalFormatting sqref="AL8:AL16">
    <cfRule type="colorScale" priority="39">
      <colorScale>
        <cfvo type="min"/>
        <cfvo type="percentile" val="50"/>
        <cfvo type="max"/>
        <color theme="2" tint="-0.499984740745262"/>
        <color theme="0"/>
        <color theme="0"/>
      </colorScale>
    </cfRule>
    <cfRule type="colorScale" priority="4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14:D1048576 G1:L2 G4:L58 H94:L113 H59:L92 G3:J3 G114:L1048576 D1:D58">
    <cfRule type="containsText" dxfId="10" priority="37" operator="containsText" text="Bengaluru FC">
      <formula>NOT(ISERROR(SEARCH("Bengaluru FC",D1)))</formula>
    </cfRule>
  </conditionalFormatting>
  <conditionalFormatting sqref="K3">
    <cfRule type="containsText" dxfId="9" priority="23" operator="containsText" text="Bengaluru FC">
      <formula>NOT(ISERROR(SEARCH("Bengaluru FC",K3)))</formula>
    </cfRule>
  </conditionalFormatting>
  <conditionalFormatting sqref="B114:B118">
    <cfRule type="cellIs" dxfId="8" priority="16" operator="greaterThan">
      <formula>$E$1</formula>
    </cfRule>
  </conditionalFormatting>
  <conditionalFormatting sqref="B4:B58">
    <cfRule type="cellIs" dxfId="7" priority="17" operator="greaterThan">
      <formula>$E$1</formula>
    </cfRule>
  </conditionalFormatting>
  <conditionalFormatting sqref="AK18">
    <cfRule type="colorScale" priority="42">
      <colorScale>
        <cfvo type="min"/>
        <cfvo type="percentile" val="50"/>
        <cfvo type="max"/>
        <color theme="0"/>
        <color theme="0"/>
        <color theme="2" tint="-0.499984740745262"/>
      </colorScale>
    </cfRule>
    <cfRule type="colorScale" priority="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59:D113">
    <cfRule type="containsText" dxfId="6" priority="8" operator="containsText" text="Bengaluru FC">
      <formula>NOT(ISERROR(SEARCH("Bengaluru FC",D59)))</formula>
    </cfRule>
  </conditionalFormatting>
  <conditionalFormatting sqref="G59:G113">
    <cfRule type="containsText" dxfId="5" priority="7" operator="containsText" text="Bengaluru FC">
      <formula>NOT(ISERROR(SEARCH("Bengaluru FC",G59)))</formula>
    </cfRule>
  </conditionalFormatting>
  <conditionalFormatting sqref="M4:M113">
    <cfRule type="duplicateValues" dxfId="4" priority="6"/>
  </conditionalFormatting>
  <conditionalFormatting sqref="B59:B113">
    <cfRule type="cellIs" dxfId="3" priority="5" operator="greaterThan">
      <formula>$E$1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AE09-9CC3-4041-9A04-20610CA9118A}">
  <sheetPr codeName="Sheet11">
    <tabColor theme="2" tint="-0.89999084444715716"/>
  </sheetPr>
  <dimension ref="A1:AS107"/>
  <sheetViews>
    <sheetView showGridLines="0" workbookViewId="0">
      <selection activeCell="AF6" sqref="AF6"/>
    </sheetView>
  </sheetViews>
  <sheetFormatPr baseColWidth="10" defaultRowHeight="16" outlineLevelRow="1" outlineLevelCol="1" x14ac:dyDescent="0.2"/>
  <cols>
    <col min="1" max="1" width="10.83203125" style="38"/>
    <col min="2" max="2" width="16.5" style="38" bestFit="1" customWidth="1"/>
    <col min="3" max="3" width="15.83203125" style="38" bestFit="1" customWidth="1"/>
    <col min="4" max="4" width="15.33203125" style="38" bestFit="1" customWidth="1"/>
    <col min="5" max="6" width="3.1640625" style="38" hidden="1" customWidth="1" outlineLevel="1"/>
    <col min="7" max="7" width="4.33203125" style="38" hidden="1" customWidth="1" outlineLevel="1"/>
    <col min="8" max="8" width="4.1640625" style="38" hidden="1" customWidth="1" outlineLevel="1"/>
    <col min="9" max="9" width="3.83203125" style="38" hidden="1" customWidth="1" outlineLevel="1"/>
    <col min="10" max="10" width="3.6640625" style="38" hidden="1" customWidth="1" outlineLevel="1"/>
    <col min="11" max="11" width="3.33203125" style="38" hidden="1" customWidth="1" outlineLevel="1"/>
    <col min="12" max="12" width="3.1640625" style="38" hidden="1" customWidth="1" outlineLevel="1"/>
    <col min="13" max="16" width="4.1640625" style="38" hidden="1" customWidth="1" outlineLevel="1"/>
    <col min="17" max="17" width="4.1640625" style="38" bestFit="1" customWidth="1" collapsed="1"/>
    <col min="18" max="20" width="4.1640625" style="38" bestFit="1" customWidth="1"/>
    <col min="21" max="22" width="5.1640625" style="38" bestFit="1" customWidth="1"/>
    <col min="23" max="23" width="3.83203125" style="38" bestFit="1" customWidth="1"/>
    <col min="24" max="25" width="4.6640625" style="38" customWidth="1" outlineLevel="1"/>
    <col min="26" max="27" width="5.6640625" style="38" bestFit="1" customWidth="1" outlineLevel="1"/>
    <col min="28" max="33" width="4.6640625" style="38" customWidth="1" outlineLevel="1"/>
    <col min="34" max="34" width="6.1640625" style="38" bestFit="1" customWidth="1"/>
    <col min="35" max="35" width="18" style="38" bestFit="1" customWidth="1"/>
    <col min="36" max="36" width="4.1640625" style="38" bestFit="1" customWidth="1"/>
    <col min="37" max="38" width="4.6640625" style="38" bestFit="1" customWidth="1"/>
    <col min="39" max="39" width="5.33203125" style="38" bestFit="1" customWidth="1"/>
    <col min="40" max="42" width="4.6640625" style="38" bestFit="1" customWidth="1"/>
    <col min="43" max="43" width="10.83203125" style="38"/>
    <col min="44" max="44" width="4.6640625" style="38" bestFit="1" customWidth="1"/>
    <col min="45" max="45" width="9.33203125" style="38" bestFit="1" customWidth="1"/>
    <col min="46" max="49" width="4.6640625" style="38" bestFit="1" customWidth="1"/>
    <col min="50" max="16384" width="10.83203125" style="38"/>
  </cols>
  <sheetData>
    <row r="1" spans="1:45" s="21" customFormat="1" x14ac:dyDescent="0.2">
      <c r="A1" s="50"/>
      <c r="AS1" s="44"/>
    </row>
    <row r="2" spans="1:45" s="21" customFormat="1" x14ac:dyDescent="0.2">
      <c r="C2" s="113" t="s">
        <v>38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190" t="s">
        <v>12</v>
      </c>
      <c r="Y2" s="191"/>
      <c r="Z2" s="191"/>
      <c r="AA2" s="191"/>
      <c r="AB2" s="191"/>
      <c r="AC2" s="191"/>
      <c r="AD2" s="191"/>
      <c r="AE2" s="191"/>
      <c r="AF2" s="191"/>
      <c r="AG2" s="192"/>
      <c r="AP2" s="21" t="s">
        <v>65</v>
      </c>
      <c r="AQ2" s="15">
        <f>Table!E24</f>
        <v>0.3</v>
      </c>
      <c r="AS2" s="113"/>
    </row>
    <row r="3" spans="1:45" s="21" customFormat="1" x14ac:dyDescent="0.2">
      <c r="B3" s="45"/>
      <c r="E3" s="186" t="s">
        <v>4</v>
      </c>
      <c r="F3" s="186"/>
      <c r="G3" s="186" t="s">
        <v>7</v>
      </c>
      <c r="H3" s="186"/>
      <c r="I3" s="186" t="s">
        <v>0</v>
      </c>
      <c r="J3" s="186"/>
      <c r="K3" s="186" t="s">
        <v>5</v>
      </c>
      <c r="L3" s="186"/>
      <c r="M3" s="186" t="s">
        <v>9</v>
      </c>
      <c r="N3" s="186"/>
      <c r="O3" s="186" t="s">
        <v>10</v>
      </c>
      <c r="P3" s="186"/>
      <c r="Q3" s="45"/>
      <c r="R3" s="45"/>
      <c r="S3" s="45"/>
      <c r="T3" s="45"/>
      <c r="U3" s="45"/>
      <c r="V3" s="45"/>
      <c r="X3" s="190" t="s">
        <v>16</v>
      </c>
      <c r="Y3" s="192"/>
      <c r="Z3" s="193" t="s">
        <v>17</v>
      </c>
      <c r="AA3" s="194"/>
      <c r="AB3" s="195" t="s">
        <v>15</v>
      </c>
      <c r="AC3" s="195"/>
      <c r="AD3" s="195"/>
      <c r="AE3" s="193" t="s">
        <v>18</v>
      </c>
      <c r="AF3" s="195"/>
      <c r="AG3" s="194"/>
      <c r="AP3" s="21" t="s">
        <v>66</v>
      </c>
      <c r="AQ3" s="15">
        <f>Table!E25</f>
        <v>0.7</v>
      </c>
      <c r="AS3" s="113"/>
    </row>
    <row r="4" spans="1:45" s="21" customFormat="1" x14ac:dyDescent="0.2">
      <c r="D4" s="40" t="s">
        <v>6</v>
      </c>
      <c r="E4" s="40" t="s">
        <v>13</v>
      </c>
      <c r="F4" s="41" t="s">
        <v>14</v>
      </c>
      <c r="G4" s="40" t="s">
        <v>13</v>
      </c>
      <c r="H4" s="41" t="s">
        <v>14</v>
      </c>
      <c r="I4" s="40" t="s">
        <v>13</v>
      </c>
      <c r="J4" s="41" t="s">
        <v>14</v>
      </c>
      <c r="K4" s="40" t="s">
        <v>13</v>
      </c>
      <c r="L4" s="42" t="s">
        <v>14</v>
      </c>
      <c r="M4" s="40" t="s">
        <v>13</v>
      </c>
      <c r="N4" s="41" t="s">
        <v>14</v>
      </c>
      <c r="O4" s="40" t="s">
        <v>13</v>
      </c>
      <c r="P4" s="42" t="s">
        <v>14</v>
      </c>
      <c r="Q4" s="43" t="s">
        <v>24</v>
      </c>
      <c r="R4" s="42" t="s">
        <v>25</v>
      </c>
      <c r="S4" s="42" t="s">
        <v>20</v>
      </c>
      <c r="T4" s="42" t="s">
        <v>26</v>
      </c>
      <c r="U4" s="40" t="s">
        <v>27</v>
      </c>
      <c r="V4" s="42" t="s">
        <v>28</v>
      </c>
      <c r="W4" s="43" t="s">
        <v>20</v>
      </c>
      <c r="X4" s="41" t="s">
        <v>13</v>
      </c>
      <c r="Y4" s="41" t="s">
        <v>14</v>
      </c>
      <c r="Z4" s="40" t="s">
        <v>13</v>
      </c>
      <c r="AA4" s="42" t="s">
        <v>14</v>
      </c>
      <c r="AB4" s="41" t="s">
        <v>13</v>
      </c>
      <c r="AC4" s="41" t="s">
        <v>14</v>
      </c>
      <c r="AD4" s="41" t="s">
        <v>11</v>
      </c>
      <c r="AE4" s="40" t="s">
        <v>13</v>
      </c>
      <c r="AF4" s="41" t="s">
        <v>14</v>
      </c>
      <c r="AG4" s="42" t="s">
        <v>11</v>
      </c>
      <c r="AH4" s="43" t="s">
        <v>8</v>
      </c>
      <c r="AQ4" s="15">
        <f>SUM(AQ2:AQ3)</f>
        <v>1</v>
      </c>
      <c r="AS4" s="113"/>
    </row>
    <row r="5" spans="1:45" s="21" customFormat="1" x14ac:dyDescent="0.2">
      <c r="D5" s="10" t="s">
        <v>76</v>
      </c>
      <c r="E5" s="10">
        <f>SUMIF($D$61:$D$70,$D5,E$61:E$70)+SUMIF($D$78:$D$87,$D5,E$78:E$87)+SUMIF($D$95:$D$104,$D5,E$95:E$104)+SUMIF($D$42:$D$52,$D5,E$42:E$52)+SUMIF($D$24:$D$34,$D5,E$24:E$34)</f>
        <v>44</v>
      </c>
      <c r="F5" s="46">
        <f t="shared" ref="F5:P15" si="0">SUMIF($D$61:$D$70,$D5,F$61:F$70)+SUMIF($D$78:$D$87,$D5,F$78:F$87)+SUMIF($D$95:$D$104,$D5,F$95:F$104)+SUMIF($D$42:$D$52,$D5,F$42:F$52)+SUMIF($D$24:$D$34,$D5,F$24:F$34)</f>
        <v>42</v>
      </c>
      <c r="G5" s="25">
        <f t="shared" si="0"/>
        <v>24</v>
      </c>
      <c r="H5" s="26">
        <f t="shared" si="0"/>
        <v>15</v>
      </c>
      <c r="I5" s="25">
        <f t="shared" si="0"/>
        <v>8</v>
      </c>
      <c r="J5" s="26">
        <f t="shared" si="0"/>
        <v>15</v>
      </c>
      <c r="K5" s="25">
        <f t="shared" si="0"/>
        <v>12</v>
      </c>
      <c r="L5" s="27">
        <f t="shared" si="0"/>
        <v>12</v>
      </c>
      <c r="M5" s="25">
        <f t="shared" si="0"/>
        <v>62</v>
      </c>
      <c r="N5" s="26">
        <f t="shared" si="0"/>
        <v>59</v>
      </c>
      <c r="O5" s="25">
        <f>SUMIF($D$61:$D$70,$D5,O$61:O$70)+SUMIF($D$78:$D$87,$D5,O$78:O$87)+SUMIF($D$95:$D$104,$D5,O$95:O$104)+SUMIF($D$42:$D$52,$D5,O$42:O$52)+SUMIF($D$24:$D$34,$D5,O$24:O$34)</f>
        <v>48</v>
      </c>
      <c r="P5" s="26">
        <f>SUMIF($D$61:$D$70,$D5,P$61:P$70)+SUMIF($D$78:$D$87,$D5,P$78:P$87)+SUMIF($D$95:$D$104,$D5,P$95:P$104)+SUMIF($D$42:$D$52,$D5,P$42:P$52)+SUMIF($D$24:$D$34,$D5,P$24:P$34)</f>
        <v>53</v>
      </c>
      <c r="Q5" s="16">
        <f t="shared" ref="Q5:Q15" si="1">E5+F5</f>
        <v>86</v>
      </c>
      <c r="R5" s="27">
        <f t="shared" ref="R5:R15" si="2">G5+H5</f>
        <v>39</v>
      </c>
      <c r="S5" s="27">
        <f t="shared" ref="S5:S15" si="3">I5+J5</f>
        <v>23</v>
      </c>
      <c r="T5" s="27">
        <f t="shared" ref="T5:T15" si="4">K5+L5</f>
        <v>24</v>
      </c>
      <c r="U5" s="25">
        <f t="shared" ref="U5:U15" si="5">M5+N5</f>
        <v>121</v>
      </c>
      <c r="V5" s="27">
        <f t="shared" ref="V5:V15" si="6">O5+P5</f>
        <v>101</v>
      </c>
      <c r="W5" s="27">
        <f t="shared" ref="W5:W15" si="7">U5-V5</f>
        <v>20</v>
      </c>
      <c r="X5" s="17">
        <f t="shared" ref="X5:X7" si="8">IF(E5&gt;0,M5/E5,0)</f>
        <v>1.4090909090909092</v>
      </c>
      <c r="Y5" s="17">
        <f>IF(F5&gt;0,N5/F5,0)</f>
        <v>1.4047619047619047</v>
      </c>
      <c r="Z5" s="18">
        <f>IF(G5&gt;0,O5/G5,0)</f>
        <v>2</v>
      </c>
      <c r="AA5" s="19">
        <f>IF(H5&gt;0,P5/H5,0)</f>
        <v>3.5333333333333332</v>
      </c>
      <c r="AB5" s="17">
        <f>((AB95+AB78+AB61+AB42)*$AQ$2)+(AB24*$AQ$3)</f>
        <v>2.0695986245708529</v>
      </c>
      <c r="AC5" s="17">
        <f t="shared" ref="AC5:AC15" si="9">((AC95+AC78+AC61+AC42)*$AQ$2)+(AC24*$AQ$3)</f>
        <v>2.3848410244665827</v>
      </c>
      <c r="AD5" s="17">
        <f>AVERAGE(AB5,AC5)</f>
        <v>2.227219824518718</v>
      </c>
      <c r="AE5" s="18">
        <f>((AE95+AE78+AE61+AE42)*$AQ$2)+(AE24*$AQ$3)</f>
        <v>1.8323600137409826</v>
      </c>
      <c r="AF5" s="17">
        <f>((AF95+AF78+AF61+AF42)*$AQ$2)+(AF24*$AQ$3)</f>
        <v>1.8807593937667644</v>
      </c>
      <c r="AG5" s="19">
        <f t="shared" ref="AG5:AG15" si="10">AVERAGE(AE5,AF5)</f>
        <v>1.8565597037538735</v>
      </c>
      <c r="AH5" s="34">
        <f t="shared" ref="AH5:AH15" si="11">(R5*3)+(S5*1)</f>
        <v>140</v>
      </c>
      <c r="AS5" s="113"/>
    </row>
    <row r="6" spans="1:45" s="104" customFormat="1" x14ac:dyDescent="0.2">
      <c r="D6" s="132" t="s">
        <v>83</v>
      </c>
      <c r="E6" s="132">
        <f t="shared" ref="E6:E15" si="12">SUMIF($D$61:$D$70,$D6,E$61:E$70)+SUMIF($D$78:$D$87,$D6,E$78:E$87)+SUMIF($D$95:$D$104,$D6,E$95:E$104)+SUMIF($D$42:$D$52,$D6,E$42:E$52)+SUMIF($D$24:$D$34,$D6,E$24:E$34)</f>
        <v>44</v>
      </c>
      <c r="F6" s="104">
        <f t="shared" si="0"/>
        <v>44</v>
      </c>
      <c r="G6" s="133">
        <f t="shared" si="0"/>
        <v>20</v>
      </c>
      <c r="H6" s="134">
        <f t="shared" si="0"/>
        <v>19</v>
      </c>
      <c r="I6" s="133">
        <f t="shared" si="0"/>
        <v>14</v>
      </c>
      <c r="J6" s="134">
        <f t="shared" si="0"/>
        <v>9</v>
      </c>
      <c r="K6" s="133">
        <f t="shared" si="0"/>
        <v>10</v>
      </c>
      <c r="L6" s="135">
        <f t="shared" si="0"/>
        <v>16</v>
      </c>
      <c r="M6" s="133">
        <f t="shared" si="0"/>
        <v>69</v>
      </c>
      <c r="N6" s="134">
        <f t="shared" si="0"/>
        <v>65</v>
      </c>
      <c r="O6" s="133">
        <f t="shared" si="0"/>
        <v>46</v>
      </c>
      <c r="P6" s="134">
        <f t="shared" si="0"/>
        <v>54</v>
      </c>
      <c r="Q6" s="136">
        <f t="shared" si="1"/>
        <v>88</v>
      </c>
      <c r="R6" s="135">
        <f t="shared" si="2"/>
        <v>39</v>
      </c>
      <c r="S6" s="135">
        <f t="shared" si="3"/>
        <v>23</v>
      </c>
      <c r="T6" s="135">
        <f t="shared" si="4"/>
        <v>26</v>
      </c>
      <c r="U6" s="133">
        <f t="shared" si="5"/>
        <v>134</v>
      </c>
      <c r="V6" s="135">
        <f t="shared" si="6"/>
        <v>100</v>
      </c>
      <c r="W6" s="135">
        <f t="shared" si="7"/>
        <v>34</v>
      </c>
      <c r="X6" s="105">
        <f t="shared" si="8"/>
        <v>1.5681818181818181</v>
      </c>
      <c r="Y6" s="105">
        <f t="shared" ref="Y6:Y7" si="13">IF(F6&gt;0,N6/F6,0)</f>
        <v>1.4772727272727273</v>
      </c>
      <c r="Z6" s="137">
        <f t="shared" ref="Z6:Z15" si="14">IF(G6&gt;0,O6/G6,0)</f>
        <v>2.2999999999999998</v>
      </c>
      <c r="AA6" s="138">
        <f t="shared" ref="AA6:AA15" si="15">IF(H6&gt;0,P6/H6,0)</f>
        <v>2.8421052631578947</v>
      </c>
      <c r="AB6" s="105">
        <f t="shared" ref="AB6:AB15" si="16">((AB96+AB79+AB62+AB43)*$AQ$2)+(AB25*$AQ$3)</f>
        <v>2.2973875558619734</v>
      </c>
      <c r="AC6" s="105">
        <f t="shared" si="9"/>
        <v>2.137197984655903</v>
      </c>
      <c r="AD6" s="105">
        <f t="shared" ref="AD6:AD15" si="17">AVERAGE(AB6,AC6)</f>
        <v>2.217292770258938</v>
      </c>
      <c r="AE6" s="137">
        <f t="shared" ref="AE6:AF6" si="18">((AE96+AE79+AE62+AE43)*$AQ$2)+(AE25*$AQ$3)</f>
        <v>1.7201477155616627</v>
      </c>
      <c r="AF6" s="105">
        <f t="shared" si="18"/>
        <v>1.6538618669066225</v>
      </c>
      <c r="AG6" s="138">
        <f t="shared" si="10"/>
        <v>1.6870047912341426</v>
      </c>
      <c r="AH6" s="139">
        <f t="shared" si="11"/>
        <v>140</v>
      </c>
    </row>
    <row r="7" spans="1:45" s="21" customFormat="1" x14ac:dyDescent="0.2">
      <c r="D7" s="2" t="s">
        <v>84</v>
      </c>
      <c r="E7" s="2">
        <f t="shared" si="12"/>
        <v>43</v>
      </c>
      <c r="F7" s="21">
        <f t="shared" si="0"/>
        <v>45</v>
      </c>
      <c r="G7" s="28">
        <f t="shared" si="0"/>
        <v>11</v>
      </c>
      <c r="H7" s="47">
        <f t="shared" si="0"/>
        <v>16</v>
      </c>
      <c r="I7" s="28">
        <f t="shared" si="0"/>
        <v>17</v>
      </c>
      <c r="J7" s="47">
        <f t="shared" si="0"/>
        <v>11</v>
      </c>
      <c r="K7" s="28">
        <f t="shared" si="0"/>
        <v>15</v>
      </c>
      <c r="L7" s="29">
        <f t="shared" si="0"/>
        <v>18</v>
      </c>
      <c r="M7" s="28">
        <f t="shared" si="0"/>
        <v>55</v>
      </c>
      <c r="N7" s="47">
        <f t="shared" si="0"/>
        <v>48</v>
      </c>
      <c r="O7" s="28">
        <f t="shared" si="0"/>
        <v>61</v>
      </c>
      <c r="P7" s="47">
        <f t="shared" si="0"/>
        <v>58</v>
      </c>
      <c r="Q7" s="3">
        <f t="shared" si="1"/>
        <v>88</v>
      </c>
      <c r="R7" s="29">
        <f t="shared" si="2"/>
        <v>27</v>
      </c>
      <c r="S7" s="29">
        <f t="shared" si="3"/>
        <v>28</v>
      </c>
      <c r="T7" s="29">
        <f t="shared" si="4"/>
        <v>33</v>
      </c>
      <c r="U7" s="28">
        <f t="shared" si="5"/>
        <v>103</v>
      </c>
      <c r="V7" s="29">
        <f t="shared" si="6"/>
        <v>119</v>
      </c>
      <c r="W7" s="29">
        <f t="shared" si="7"/>
        <v>-16</v>
      </c>
      <c r="X7" s="15">
        <f t="shared" si="8"/>
        <v>1.2790697674418605</v>
      </c>
      <c r="Y7" s="15">
        <f t="shared" si="13"/>
        <v>1.0666666666666667</v>
      </c>
      <c r="Z7" s="4">
        <f t="shared" si="14"/>
        <v>5.5454545454545459</v>
      </c>
      <c r="AA7" s="5">
        <f t="shared" si="15"/>
        <v>3.625</v>
      </c>
      <c r="AB7" s="15">
        <f t="shared" si="16"/>
        <v>1.6923160070404248</v>
      </c>
      <c r="AC7" s="15">
        <f t="shared" si="9"/>
        <v>1.4832889614107407</v>
      </c>
      <c r="AD7" s="15">
        <f t="shared" si="17"/>
        <v>1.5878024842255827</v>
      </c>
      <c r="AE7" s="4">
        <f t="shared" ref="AE7:AF7" si="19">((AE97+AE80+AE63+AE44)*$AQ$2)+(AE26*$AQ$3)</f>
        <v>2.1914366960571012</v>
      </c>
      <c r="AF7" s="15">
        <f t="shared" si="19"/>
        <v>1.6817905576540886</v>
      </c>
      <c r="AG7" s="5">
        <f t="shared" si="10"/>
        <v>1.9366136268555949</v>
      </c>
      <c r="AH7" s="34">
        <f t="shared" si="11"/>
        <v>109</v>
      </c>
    </row>
    <row r="8" spans="1:45" s="21" customFormat="1" x14ac:dyDescent="0.2">
      <c r="D8" s="2" t="s">
        <v>77</v>
      </c>
      <c r="E8" s="2">
        <f t="shared" si="12"/>
        <v>17</v>
      </c>
      <c r="F8" s="21">
        <f t="shared" si="0"/>
        <v>18</v>
      </c>
      <c r="G8" s="28">
        <f t="shared" si="0"/>
        <v>1</v>
      </c>
      <c r="H8" s="47">
        <f t="shared" si="0"/>
        <v>3</v>
      </c>
      <c r="I8" s="28">
        <f t="shared" si="0"/>
        <v>9</v>
      </c>
      <c r="J8" s="47">
        <f t="shared" si="0"/>
        <v>6</v>
      </c>
      <c r="K8" s="28">
        <f t="shared" si="0"/>
        <v>7</v>
      </c>
      <c r="L8" s="29">
        <f t="shared" si="0"/>
        <v>9</v>
      </c>
      <c r="M8" s="28">
        <f t="shared" si="0"/>
        <v>16</v>
      </c>
      <c r="N8" s="47">
        <f t="shared" si="0"/>
        <v>22</v>
      </c>
      <c r="O8" s="28">
        <f t="shared" si="0"/>
        <v>28</v>
      </c>
      <c r="P8" s="47">
        <f t="shared" si="0"/>
        <v>35</v>
      </c>
      <c r="Q8" s="3">
        <f t="shared" si="1"/>
        <v>35</v>
      </c>
      <c r="R8" s="29">
        <f t="shared" si="2"/>
        <v>4</v>
      </c>
      <c r="S8" s="29">
        <f t="shared" si="3"/>
        <v>15</v>
      </c>
      <c r="T8" s="29">
        <f t="shared" si="4"/>
        <v>16</v>
      </c>
      <c r="U8" s="28">
        <f t="shared" si="5"/>
        <v>38</v>
      </c>
      <c r="V8" s="29">
        <f t="shared" si="6"/>
        <v>63</v>
      </c>
      <c r="W8" s="29">
        <f t="shared" si="7"/>
        <v>-25</v>
      </c>
      <c r="X8" s="15">
        <f>IF(E8&gt;0,M8/E8,0)</f>
        <v>0.94117647058823528</v>
      </c>
      <c r="Y8" s="15">
        <f>IF(F8&gt;0,N8/F8,0)</f>
        <v>1.2222222222222223</v>
      </c>
      <c r="Z8" s="4">
        <f t="shared" si="14"/>
        <v>28</v>
      </c>
      <c r="AA8" s="5">
        <f t="shared" si="15"/>
        <v>11.666666666666666</v>
      </c>
      <c r="AB8" s="15">
        <f t="shared" si="16"/>
        <v>2.2983657473042753</v>
      </c>
      <c r="AC8" s="15">
        <f t="shared" si="9"/>
        <v>2.2664839306843771</v>
      </c>
      <c r="AD8" s="15">
        <f t="shared" si="17"/>
        <v>2.2824248389943262</v>
      </c>
      <c r="AE8" s="4">
        <f t="shared" ref="AE8:AF8" si="20">((AE98+AE81+AE64+AE45)*$AQ$2)+(AE27*$AQ$3)</f>
        <v>2.2682850490476736</v>
      </c>
      <c r="AF8" s="15">
        <f t="shared" si="20"/>
        <v>2.3205343227457229</v>
      </c>
      <c r="AG8" s="5">
        <f t="shared" si="10"/>
        <v>2.2944096858966985</v>
      </c>
      <c r="AH8" s="34">
        <f t="shared" si="11"/>
        <v>27</v>
      </c>
    </row>
    <row r="9" spans="1:45" s="21" customFormat="1" x14ac:dyDescent="0.2">
      <c r="D9" s="2" t="s">
        <v>80</v>
      </c>
      <c r="E9" s="2">
        <f t="shared" si="12"/>
        <v>44</v>
      </c>
      <c r="F9" s="21">
        <f t="shared" si="0"/>
        <v>45</v>
      </c>
      <c r="G9" s="28">
        <f t="shared" si="0"/>
        <v>23</v>
      </c>
      <c r="H9" s="47">
        <f t="shared" si="0"/>
        <v>18</v>
      </c>
      <c r="I9" s="28">
        <f t="shared" si="0"/>
        <v>12</v>
      </c>
      <c r="J9" s="47">
        <f t="shared" si="0"/>
        <v>14</v>
      </c>
      <c r="K9" s="28">
        <f t="shared" si="0"/>
        <v>9</v>
      </c>
      <c r="L9" s="29">
        <f t="shared" si="0"/>
        <v>13</v>
      </c>
      <c r="M9" s="28">
        <f t="shared" si="0"/>
        <v>93</v>
      </c>
      <c r="N9" s="47">
        <f t="shared" si="0"/>
        <v>80</v>
      </c>
      <c r="O9" s="28">
        <f t="shared" si="0"/>
        <v>51</v>
      </c>
      <c r="P9" s="47">
        <f t="shared" si="0"/>
        <v>67</v>
      </c>
      <c r="Q9" s="3">
        <f t="shared" si="1"/>
        <v>89</v>
      </c>
      <c r="R9" s="29">
        <f t="shared" si="2"/>
        <v>41</v>
      </c>
      <c r="S9" s="29">
        <f t="shared" si="3"/>
        <v>26</v>
      </c>
      <c r="T9" s="29">
        <f t="shared" si="4"/>
        <v>22</v>
      </c>
      <c r="U9" s="28">
        <f t="shared" si="5"/>
        <v>173</v>
      </c>
      <c r="V9" s="29">
        <f t="shared" si="6"/>
        <v>118</v>
      </c>
      <c r="W9" s="29">
        <f t="shared" si="7"/>
        <v>55</v>
      </c>
      <c r="X9" s="15">
        <f t="shared" ref="X9:X15" si="21">IF(E9&gt;0,M9/E9,0)</f>
        <v>2.1136363636363638</v>
      </c>
      <c r="Y9" s="15">
        <f t="shared" ref="Y9:Y15" si="22">IF(F9&gt;0,N9/F9,0)</f>
        <v>1.7777777777777777</v>
      </c>
      <c r="Z9" s="4">
        <f t="shared" si="14"/>
        <v>2.2173913043478262</v>
      </c>
      <c r="AA9" s="5">
        <f t="shared" si="15"/>
        <v>3.7222222222222223</v>
      </c>
      <c r="AB9" s="15">
        <f t="shared" si="16"/>
        <v>1.7934931050517995</v>
      </c>
      <c r="AC9" s="15">
        <f t="shared" si="9"/>
        <v>2.0171275621206917</v>
      </c>
      <c r="AD9" s="15">
        <f t="shared" si="17"/>
        <v>1.9053103335862456</v>
      </c>
      <c r="AE9" s="4">
        <f t="shared" ref="AE9:AF9" si="23">((AE99+AE82+AE65+AE46)*$AQ$2)+(AE28*$AQ$3)</f>
        <v>2.0847265162792477</v>
      </c>
      <c r="AF9" s="15">
        <f t="shared" si="23"/>
        <v>2.2576929605011884</v>
      </c>
      <c r="AG9" s="5">
        <f t="shared" si="10"/>
        <v>2.171209738390218</v>
      </c>
      <c r="AH9" s="34">
        <f t="shared" si="11"/>
        <v>149</v>
      </c>
    </row>
    <row r="10" spans="1:45" s="21" customFormat="1" x14ac:dyDescent="0.2">
      <c r="D10" s="2" t="s">
        <v>85</v>
      </c>
      <c r="E10" s="2">
        <f t="shared" si="12"/>
        <v>42</v>
      </c>
      <c r="F10" s="21">
        <f t="shared" si="0"/>
        <v>46</v>
      </c>
      <c r="G10" s="28">
        <f t="shared" si="0"/>
        <v>14</v>
      </c>
      <c r="H10" s="47">
        <f t="shared" si="0"/>
        <v>16</v>
      </c>
      <c r="I10" s="28">
        <f t="shared" si="0"/>
        <v>12</v>
      </c>
      <c r="J10" s="47">
        <f t="shared" si="0"/>
        <v>15</v>
      </c>
      <c r="K10" s="28">
        <f t="shared" si="0"/>
        <v>16</v>
      </c>
      <c r="L10" s="29">
        <f t="shared" si="0"/>
        <v>15</v>
      </c>
      <c r="M10" s="28">
        <f t="shared" si="0"/>
        <v>66</v>
      </c>
      <c r="N10" s="47">
        <f t="shared" si="0"/>
        <v>69</v>
      </c>
      <c r="O10" s="28">
        <f t="shared" si="0"/>
        <v>61</v>
      </c>
      <c r="P10" s="47">
        <f t="shared" si="0"/>
        <v>61</v>
      </c>
      <c r="Q10" s="3">
        <f t="shared" si="1"/>
        <v>88</v>
      </c>
      <c r="R10" s="29">
        <f t="shared" si="2"/>
        <v>30</v>
      </c>
      <c r="S10" s="29">
        <f t="shared" si="3"/>
        <v>27</v>
      </c>
      <c r="T10" s="29">
        <f t="shared" si="4"/>
        <v>31</v>
      </c>
      <c r="U10" s="28">
        <f t="shared" si="5"/>
        <v>135</v>
      </c>
      <c r="V10" s="29">
        <f t="shared" si="6"/>
        <v>122</v>
      </c>
      <c r="W10" s="29">
        <f t="shared" si="7"/>
        <v>13</v>
      </c>
      <c r="X10" s="15">
        <f t="shared" si="21"/>
        <v>1.5714285714285714</v>
      </c>
      <c r="Y10" s="15">
        <f t="shared" si="22"/>
        <v>1.5</v>
      </c>
      <c r="Z10" s="4">
        <f t="shared" si="14"/>
        <v>4.3571428571428568</v>
      </c>
      <c r="AA10" s="5">
        <f t="shared" si="15"/>
        <v>3.8125</v>
      </c>
      <c r="AB10" s="15">
        <f t="shared" si="16"/>
        <v>2.6008540597170162</v>
      </c>
      <c r="AC10" s="15">
        <f t="shared" si="9"/>
        <v>2.2018340394671556</v>
      </c>
      <c r="AD10" s="15">
        <f t="shared" si="17"/>
        <v>2.4013440495920859</v>
      </c>
      <c r="AE10" s="4">
        <f t="shared" ref="AE10:AF10" si="24">((AE100+AE83+AE66+AE47)*$AQ$2)+(AE29*$AQ$3)</f>
        <v>1.7011584411618765</v>
      </c>
      <c r="AF10" s="15">
        <f t="shared" si="24"/>
        <v>1.4450563501928062</v>
      </c>
      <c r="AG10" s="5">
        <f t="shared" si="10"/>
        <v>1.5731073956773414</v>
      </c>
      <c r="AH10" s="34">
        <f t="shared" si="11"/>
        <v>117</v>
      </c>
    </row>
    <row r="11" spans="1:45" s="21" customFormat="1" x14ac:dyDescent="0.2">
      <c r="D11" s="2" t="s">
        <v>82</v>
      </c>
      <c r="E11" s="2">
        <f t="shared" si="12"/>
        <v>44</v>
      </c>
      <c r="F11" s="21">
        <f t="shared" si="0"/>
        <v>42</v>
      </c>
      <c r="G11" s="28">
        <f t="shared" si="0"/>
        <v>18</v>
      </c>
      <c r="H11" s="47">
        <f t="shared" si="0"/>
        <v>12</v>
      </c>
      <c r="I11" s="28">
        <f t="shared" si="0"/>
        <v>12</v>
      </c>
      <c r="J11" s="47">
        <f t="shared" si="0"/>
        <v>18</v>
      </c>
      <c r="K11" s="28">
        <f t="shared" si="0"/>
        <v>14</v>
      </c>
      <c r="L11" s="29">
        <f t="shared" si="0"/>
        <v>12</v>
      </c>
      <c r="M11" s="28">
        <f t="shared" si="0"/>
        <v>61</v>
      </c>
      <c r="N11" s="47">
        <f t="shared" si="0"/>
        <v>46</v>
      </c>
      <c r="O11" s="28">
        <f t="shared" si="0"/>
        <v>60</v>
      </c>
      <c r="P11" s="47">
        <f t="shared" si="0"/>
        <v>48</v>
      </c>
      <c r="Q11" s="3">
        <f t="shared" si="1"/>
        <v>86</v>
      </c>
      <c r="R11" s="29">
        <f t="shared" si="2"/>
        <v>30</v>
      </c>
      <c r="S11" s="29">
        <f t="shared" si="3"/>
        <v>30</v>
      </c>
      <c r="T11" s="29">
        <f t="shared" si="4"/>
        <v>26</v>
      </c>
      <c r="U11" s="28">
        <f t="shared" si="5"/>
        <v>107</v>
      </c>
      <c r="V11" s="29">
        <f t="shared" si="6"/>
        <v>108</v>
      </c>
      <c r="W11" s="29">
        <f t="shared" si="7"/>
        <v>-1</v>
      </c>
      <c r="X11" s="15">
        <f t="shared" si="21"/>
        <v>1.3863636363636365</v>
      </c>
      <c r="Y11" s="15">
        <f t="shared" si="22"/>
        <v>1.0952380952380953</v>
      </c>
      <c r="Z11" s="4">
        <f t="shared" si="14"/>
        <v>3.3333333333333335</v>
      </c>
      <c r="AA11" s="5">
        <f t="shared" si="15"/>
        <v>4</v>
      </c>
      <c r="AB11" s="15">
        <f t="shared" si="16"/>
        <v>1.6665097487371039</v>
      </c>
      <c r="AC11" s="15">
        <f t="shared" si="9"/>
        <v>2.1921504637581588</v>
      </c>
      <c r="AD11" s="15">
        <f t="shared" si="17"/>
        <v>1.9293301062476313</v>
      </c>
      <c r="AE11" s="4">
        <f t="shared" ref="AE11:AF11" si="25">((AE101+AE84+AE67+AE48)*$AQ$2)+(AE30*$AQ$3)</f>
        <v>1.5979083171113402</v>
      </c>
      <c r="AF11" s="15">
        <f t="shared" si="25"/>
        <v>1.9716600419922359</v>
      </c>
      <c r="AG11" s="5">
        <f t="shared" si="10"/>
        <v>1.784784179551788</v>
      </c>
      <c r="AH11" s="34">
        <f t="shared" si="11"/>
        <v>120</v>
      </c>
    </row>
    <row r="12" spans="1:45" s="21" customFormat="1" x14ac:dyDescent="0.2">
      <c r="D12" s="2" t="s">
        <v>78</v>
      </c>
      <c r="E12" s="2">
        <f t="shared" si="12"/>
        <v>42</v>
      </c>
      <c r="F12" s="21">
        <f t="shared" si="0"/>
        <v>44</v>
      </c>
      <c r="G12" s="28">
        <f t="shared" si="0"/>
        <v>10</v>
      </c>
      <c r="H12" s="47">
        <f t="shared" si="0"/>
        <v>10</v>
      </c>
      <c r="I12" s="28">
        <f t="shared" si="0"/>
        <v>21</v>
      </c>
      <c r="J12" s="47">
        <f t="shared" si="0"/>
        <v>15</v>
      </c>
      <c r="K12" s="28">
        <f t="shared" si="0"/>
        <v>11</v>
      </c>
      <c r="L12" s="29">
        <f t="shared" si="0"/>
        <v>19</v>
      </c>
      <c r="M12" s="28">
        <f t="shared" si="0"/>
        <v>51</v>
      </c>
      <c r="N12" s="47">
        <f t="shared" si="0"/>
        <v>57</v>
      </c>
      <c r="O12" s="28">
        <f t="shared" si="0"/>
        <v>51</v>
      </c>
      <c r="P12" s="47">
        <f t="shared" si="0"/>
        <v>78</v>
      </c>
      <c r="Q12" s="3">
        <f t="shared" si="1"/>
        <v>86</v>
      </c>
      <c r="R12" s="29">
        <f t="shared" si="2"/>
        <v>20</v>
      </c>
      <c r="S12" s="29">
        <f t="shared" si="3"/>
        <v>36</v>
      </c>
      <c r="T12" s="29">
        <f t="shared" si="4"/>
        <v>30</v>
      </c>
      <c r="U12" s="28">
        <f t="shared" si="5"/>
        <v>108</v>
      </c>
      <c r="V12" s="29">
        <f t="shared" si="6"/>
        <v>129</v>
      </c>
      <c r="W12" s="29">
        <f t="shared" si="7"/>
        <v>-21</v>
      </c>
      <c r="X12" s="15">
        <f t="shared" si="21"/>
        <v>1.2142857142857142</v>
      </c>
      <c r="Y12" s="15">
        <f t="shared" si="22"/>
        <v>1.2954545454545454</v>
      </c>
      <c r="Z12" s="4">
        <f t="shared" si="14"/>
        <v>5.0999999999999996</v>
      </c>
      <c r="AA12" s="5">
        <f t="shared" si="15"/>
        <v>7.8</v>
      </c>
      <c r="AB12" s="15">
        <f t="shared" si="16"/>
        <v>1.7408543887928634</v>
      </c>
      <c r="AC12" s="15">
        <f t="shared" si="9"/>
        <v>2.1526909424023817</v>
      </c>
      <c r="AD12" s="15">
        <f t="shared" si="17"/>
        <v>1.9467726655976225</v>
      </c>
      <c r="AE12" s="4">
        <f t="shared" ref="AE12:AF12" si="26">((AE102+AE85+AE68+AE49)*$AQ$2)+(AE31*$AQ$3)</f>
        <v>1.6729569830909576</v>
      </c>
      <c r="AF12" s="15">
        <f t="shared" si="26"/>
        <v>1.99017477973497</v>
      </c>
      <c r="AG12" s="5">
        <f t="shared" si="10"/>
        <v>1.8315658814129638</v>
      </c>
      <c r="AH12" s="34">
        <f t="shared" si="11"/>
        <v>96</v>
      </c>
    </row>
    <row r="13" spans="1:45" s="21" customFormat="1" x14ac:dyDescent="0.2">
      <c r="D13" s="2" t="s">
        <v>86</v>
      </c>
      <c r="E13" s="2">
        <f t="shared" si="12"/>
        <v>45</v>
      </c>
      <c r="F13" s="21">
        <f t="shared" si="0"/>
        <v>42</v>
      </c>
      <c r="G13" s="28">
        <f t="shared" si="0"/>
        <v>21</v>
      </c>
      <c r="H13" s="47">
        <f t="shared" si="0"/>
        <v>19</v>
      </c>
      <c r="I13" s="28">
        <f t="shared" si="0"/>
        <v>7</v>
      </c>
      <c r="J13" s="47">
        <f t="shared" si="0"/>
        <v>11</v>
      </c>
      <c r="K13" s="28">
        <f t="shared" si="0"/>
        <v>17</v>
      </c>
      <c r="L13" s="29">
        <f t="shared" si="0"/>
        <v>12</v>
      </c>
      <c r="M13" s="28">
        <f t="shared" si="0"/>
        <v>66</v>
      </c>
      <c r="N13" s="47">
        <f t="shared" si="0"/>
        <v>68</v>
      </c>
      <c r="O13" s="28">
        <f t="shared" si="0"/>
        <v>57</v>
      </c>
      <c r="P13" s="47">
        <f t="shared" si="0"/>
        <v>61</v>
      </c>
      <c r="Q13" s="3">
        <f t="shared" si="1"/>
        <v>87</v>
      </c>
      <c r="R13" s="29">
        <f t="shared" si="2"/>
        <v>40</v>
      </c>
      <c r="S13" s="29">
        <f t="shared" si="3"/>
        <v>18</v>
      </c>
      <c r="T13" s="29">
        <f t="shared" si="4"/>
        <v>29</v>
      </c>
      <c r="U13" s="28">
        <f t="shared" si="5"/>
        <v>134</v>
      </c>
      <c r="V13" s="29">
        <f t="shared" si="6"/>
        <v>118</v>
      </c>
      <c r="W13" s="29">
        <f t="shared" si="7"/>
        <v>16</v>
      </c>
      <c r="X13" s="15">
        <f t="shared" si="21"/>
        <v>1.4666666666666666</v>
      </c>
      <c r="Y13" s="15">
        <f t="shared" si="22"/>
        <v>1.6190476190476191</v>
      </c>
      <c r="Z13" s="4">
        <f t="shared" si="14"/>
        <v>2.7142857142857144</v>
      </c>
      <c r="AA13" s="5">
        <f t="shared" si="15"/>
        <v>3.2105263157894739</v>
      </c>
      <c r="AB13" s="15">
        <f t="shared" si="16"/>
        <v>1.711666848062984</v>
      </c>
      <c r="AC13" s="15">
        <f t="shared" si="9"/>
        <v>2.4343333715027291</v>
      </c>
      <c r="AD13" s="15">
        <f t="shared" si="17"/>
        <v>2.0730001097828565</v>
      </c>
      <c r="AE13" s="4">
        <f t="shared" ref="AE13:AF13" si="27">((AE103+AE86+AE69+AE50)*$AQ$2)+(AE32*$AQ$3)</f>
        <v>2.0663350700408412</v>
      </c>
      <c r="AF13" s="15">
        <f t="shared" si="27"/>
        <v>1.9843487615958779</v>
      </c>
      <c r="AG13" s="5">
        <f t="shared" si="10"/>
        <v>2.0253419158183594</v>
      </c>
      <c r="AH13" s="34">
        <f t="shared" si="11"/>
        <v>138</v>
      </c>
    </row>
    <row r="14" spans="1:45" s="21" customFormat="1" x14ac:dyDescent="0.2">
      <c r="D14" s="2" t="s">
        <v>79</v>
      </c>
      <c r="E14" s="2">
        <f t="shared" si="12"/>
        <v>45</v>
      </c>
      <c r="F14" s="21">
        <f t="shared" si="0"/>
        <v>44</v>
      </c>
      <c r="G14" s="28">
        <f t="shared" si="0"/>
        <v>12</v>
      </c>
      <c r="H14" s="47">
        <f t="shared" si="0"/>
        <v>10</v>
      </c>
      <c r="I14" s="28">
        <f t="shared" si="0"/>
        <v>17</v>
      </c>
      <c r="J14" s="47">
        <f t="shared" si="0"/>
        <v>14</v>
      </c>
      <c r="K14" s="28">
        <f t="shared" si="0"/>
        <v>16</v>
      </c>
      <c r="L14" s="29">
        <f t="shared" si="0"/>
        <v>20</v>
      </c>
      <c r="M14" s="28">
        <f t="shared" si="0"/>
        <v>51</v>
      </c>
      <c r="N14" s="47">
        <f t="shared" si="0"/>
        <v>48</v>
      </c>
      <c r="O14" s="28">
        <f t="shared" si="0"/>
        <v>63</v>
      </c>
      <c r="P14" s="47">
        <f t="shared" si="0"/>
        <v>70</v>
      </c>
      <c r="Q14" s="3">
        <f t="shared" si="1"/>
        <v>89</v>
      </c>
      <c r="R14" s="29">
        <f t="shared" si="2"/>
        <v>22</v>
      </c>
      <c r="S14" s="29">
        <f t="shared" si="3"/>
        <v>31</v>
      </c>
      <c r="T14" s="29">
        <f t="shared" si="4"/>
        <v>36</v>
      </c>
      <c r="U14" s="28">
        <f t="shared" si="5"/>
        <v>99</v>
      </c>
      <c r="V14" s="29">
        <f t="shared" si="6"/>
        <v>133</v>
      </c>
      <c r="W14" s="29">
        <f t="shared" si="7"/>
        <v>-34</v>
      </c>
      <c r="X14" s="15">
        <f t="shared" si="21"/>
        <v>1.1333333333333333</v>
      </c>
      <c r="Y14" s="15">
        <f t="shared" si="22"/>
        <v>1.0909090909090908</v>
      </c>
      <c r="Z14" s="4">
        <f t="shared" si="14"/>
        <v>5.25</v>
      </c>
      <c r="AA14" s="5">
        <f t="shared" si="15"/>
        <v>7</v>
      </c>
      <c r="AB14" s="15">
        <f t="shared" si="16"/>
        <v>1.9869978963421873</v>
      </c>
      <c r="AC14" s="15">
        <f t="shared" si="9"/>
        <v>1.8614679949616395</v>
      </c>
      <c r="AD14" s="15">
        <f t="shared" si="17"/>
        <v>1.9242329456519134</v>
      </c>
      <c r="AE14" s="4">
        <f t="shared" ref="AE14:AF14" si="28">((AE104+AE87+AE70+AE51)*$AQ$2)+(AE33*$AQ$3)</f>
        <v>2.4341100805374252</v>
      </c>
      <c r="AF14" s="15">
        <f t="shared" si="28"/>
        <v>2.7778362426875027</v>
      </c>
      <c r="AG14" s="5">
        <f t="shared" si="10"/>
        <v>2.605973161612464</v>
      </c>
      <c r="AH14" s="34">
        <f t="shared" si="11"/>
        <v>97</v>
      </c>
    </row>
    <row r="15" spans="1:45" s="21" customFormat="1" ht="17" thickBot="1" x14ac:dyDescent="0.25">
      <c r="C15" s="1"/>
      <c r="D15" s="33" t="s">
        <v>81</v>
      </c>
      <c r="E15" s="33">
        <f t="shared" si="12"/>
        <v>45</v>
      </c>
      <c r="F15" s="1">
        <f t="shared" si="0"/>
        <v>43</v>
      </c>
      <c r="G15" s="30">
        <f t="shared" si="0"/>
        <v>15</v>
      </c>
      <c r="H15" s="31">
        <f t="shared" si="0"/>
        <v>8</v>
      </c>
      <c r="I15" s="30">
        <f t="shared" si="0"/>
        <v>11</v>
      </c>
      <c r="J15" s="31">
        <f t="shared" si="0"/>
        <v>12</v>
      </c>
      <c r="K15" s="30">
        <f t="shared" si="0"/>
        <v>19</v>
      </c>
      <c r="L15" s="32">
        <f t="shared" si="0"/>
        <v>23</v>
      </c>
      <c r="M15" s="30">
        <f t="shared" si="0"/>
        <v>75</v>
      </c>
      <c r="N15" s="31">
        <f t="shared" si="0"/>
        <v>51</v>
      </c>
      <c r="O15" s="30">
        <f t="shared" si="0"/>
        <v>87</v>
      </c>
      <c r="P15" s="31">
        <f t="shared" si="0"/>
        <v>80</v>
      </c>
      <c r="Q15" s="6">
        <f t="shared" si="1"/>
        <v>88</v>
      </c>
      <c r="R15" s="32">
        <f t="shared" si="2"/>
        <v>23</v>
      </c>
      <c r="S15" s="32">
        <f t="shared" si="3"/>
        <v>23</v>
      </c>
      <c r="T15" s="32">
        <f t="shared" si="4"/>
        <v>42</v>
      </c>
      <c r="U15" s="30">
        <f t="shared" si="5"/>
        <v>126</v>
      </c>
      <c r="V15" s="32">
        <f t="shared" si="6"/>
        <v>167</v>
      </c>
      <c r="W15" s="32">
        <f t="shared" si="7"/>
        <v>-41</v>
      </c>
      <c r="X15" s="8">
        <f t="shared" si="21"/>
        <v>1.6666666666666667</v>
      </c>
      <c r="Y15" s="8">
        <f t="shared" si="22"/>
        <v>1.1860465116279071</v>
      </c>
      <c r="Z15" s="7">
        <f t="shared" si="14"/>
        <v>5.8</v>
      </c>
      <c r="AA15" s="9">
        <f t="shared" si="15"/>
        <v>10</v>
      </c>
      <c r="AB15" s="8">
        <f t="shared" si="16"/>
        <v>1.4571180555555554</v>
      </c>
      <c r="AC15" s="8">
        <f t="shared" si="9"/>
        <v>0.79788732394366213</v>
      </c>
      <c r="AD15" s="8">
        <f t="shared" si="17"/>
        <v>1.1275026897496088</v>
      </c>
      <c r="AE15" s="7">
        <f t="shared" ref="AE15:AF15" si="29">((AE105+AE88+AE71+AE52)*$AQ$2)+(AE34*$AQ$3)</f>
        <v>1.7565140845070424</v>
      </c>
      <c r="AF15" s="8">
        <f t="shared" si="29"/>
        <v>1.3928240740740743</v>
      </c>
      <c r="AG15" s="9">
        <f t="shared" si="10"/>
        <v>1.5746690792905582</v>
      </c>
      <c r="AH15" s="36">
        <f t="shared" si="11"/>
        <v>92</v>
      </c>
      <c r="AI15" s="1"/>
    </row>
    <row r="16" spans="1:45" s="21" customFormat="1" x14ac:dyDescent="0.2">
      <c r="D16" s="22" t="s">
        <v>1</v>
      </c>
      <c r="E16" s="22"/>
      <c r="F16" s="23"/>
      <c r="G16" s="22"/>
      <c r="H16" s="23"/>
      <c r="I16" s="22"/>
      <c r="J16" s="23"/>
      <c r="K16" s="22"/>
      <c r="L16" s="24"/>
      <c r="M16" s="22">
        <f>SUM(M5:M15)</f>
        <v>665</v>
      </c>
      <c r="N16" s="23">
        <f>SUM(N5:N15)</f>
        <v>613</v>
      </c>
      <c r="O16" s="22">
        <f>SUM(O5:O15)</f>
        <v>613</v>
      </c>
      <c r="P16" s="23">
        <f>SUM(P5:P15)</f>
        <v>665</v>
      </c>
      <c r="Q16" s="11">
        <f>SUM(Q5:Q15)/2</f>
        <v>455</v>
      </c>
      <c r="R16" s="37">
        <f>SUM(R5:R15)/2</f>
        <v>157.5</v>
      </c>
      <c r="S16" s="37">
        <f>SUM(S5:S15)/2</f>
        <v>140</v>
      </c>
      <c r="T16" s="37">
        <f>SUM(T5:T15)/2</f>
        <v>157.5</v>
      </c>
      <c r="U16" s="22">
        <f>SUM(U5:U15)</f>
        <v>1278</v>
      </c>
      <c r="V16" s="24">
        <f>SUM(V5:V15)</f>
        <v>1278</v>
      </c>
      <c r="W16" s="24"/>
      <c r="X16" s="12">
        <f>AVERAGE(X5:X15)</f>
        <v>1.4318090834257975</v>
      </c>
      <c r="Y16" s="12">
        <f>AVERAGE(Y5:Y15)</f>
        <v>1.3395815600889593</v>
      </c>
      <c r="Z16" s="13">
        <f>AVERAGE(Z5:Z15)</f>
        <v>6.0561461595058432</v>
      </c>
      <c r="AA16" s="14">
        <f>AVERAGE(AA5:AA15)</f>
        <v>5.564759436469962</v>
      </c>
      <c r="AB16" s="12"/>
      <c r="AC16" s="12"/>
      <c r="AD16" s="12"/>
      <c r="AE16" s="13"/>
      <c r="AF16" s="12"/>
      <c r="AG16" s="14"/>
      <c r="AH16" s="35"/>
    </row>
    <row r="17" spans="3:35" s="21" customFormat="1" x14ac:dyDescent="0.2">
      <c r="W17" s="45"/>
      <c r="X17" s="48">
        <f>STDEV(X5:X15)</f>
        <v>0.31022378258534999</v>
      </c>
      <c r="Y17" s="48">
        <f t="shared" ref="Y17" si="30">STDEV(Y5:Y15)</f>
        <v>0.23545196909950128</v>
      </c>
      <c r="Z17" s="48"/>
      <c r="AA17" s="48"/>
    </row>
    <row r="18" spans="3:35" s="21" customFormat="1" x14ac:dyDescent="0.2">
      <c r="D18" s="44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Z18" s="48"/>
      <c r="AA18" s="48"/>
      <c r="AB18" s="45"/>
      <c r="AC18" s="45"/>
      <c r="AD18" s="45"/>
      <c r="AE18" s="45"/>
      <c r="AF18" s="45"/>
      <c r="AG18" s="45"/>
    </row>
    <row r="19" spans="3:35" s="21" customFormat="1" x14ac:dyDescent="0.2">
      <c r="D19" s="168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Z19" s="48"/>
      <c r="AA19" s="48"/>
      <c r="AB19" s="45"/>
      <c r="AC19" s="45"/>
      <c r="AD19" s="45"/>
      <c r="AE19" s="45"/>
      <c r="AF19" s="45"/>
      <c r="AG19" s="45"/>
    </row>
    <row r="20" spans="3:35" x14ac:dyDescent="0.2">
      <c r="C20" s="168" t="s">
        <v>93</v>
      </c>
    </row>
    <row r="21" spans="3:35" hidden="1" outlineLevel="1" x14ac:dyDescent="0.2">
      <c r="D21" s="21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190" t="s">
        <v>12</v>
      </c>
      <c r="Y21" s="191"/>
      <c r="Z21" s="191"/>
      <c r="AA21" s="191"/>
      <c r="AB21" s="191"/>
      <c r="AC21" s="191"/>
      <c r="AD21" s="191"/>
      <c r="AE21" s="191"/>
      <c r="AF21" s="191"/>
      <c r="AG21" s="192"/>
      <c r="AH21" s="21"/>
      <c r="AI21" s="21"/>
    </row>
    <row r="22" spans="3:35" hidden="1" outlineLevel="1" x14ac:dyDescent="0.2">
      <c r="C22" s="21"/>
      <c r="D22" s="21"/>
      <c r="E22" s="186" t="s">
        <v>4</v>
      </c>
      <c r="F22" s="186"/>
      <c r="G22" s="186" t="s">
        <v>7</v>
      </c>
      <c r="H22" s="186"/>
      <c r="I22" s="186" t="s">
        <v>0</v>
      </c>
      <c r="J22" s="186"/>
      <c r="K22" s="186" t="s">
        <v>5</v>
      </c>
      <c r="L22" s="186"/>
      <c r="M22" s="186" t="s">
        <v>9</v>
      </c>
      <c r="N22" s="186"/>
      <c r="O22" s="186" t="s">
        <v>10</v>
      </c>
      <c r="P22" s="186"/>
      <c r="Q22" s="45"/>
      <c r="R22" s="45"/>
      <c r="S22" s="45"/>
      <c r="T22" s="45"/>
      <c r="U22" s="45"/>
      <c r="V22" s="45"/>
      <c r="W22" s="21"/>
      <c r="X22" s="190" t="s">
        <v>16</v>
      </c>
      <c r="Y22" s="192"/>
      <c r="Z22" s="193" t="s">
        <v>17</v>
      </c>
      <c r="AA22" s="194"/>
      <c r="AB22" s="195" t="s">
        <v>15</v>
      </c>
      <c r="AC22" s="195"/>
      <c r="AD22" s="195"/>
      <c r="AE22" s="193" t="s">
        <v>18</v>
      </c>
      <c r="AF22" s="195"/>
      <c r="AG22" s="194"/>
      <c r="AH22" s="21"/>
      <c r="AI22" s="21"/>
    </row>
    <row r="23" spans="3:35" hidden="1" outlineLevel="1" x14ac:dyDescent="0.2">
      <c r="C23" s="21"/>
      <c r="D23" s="169" t="s">
        <v>6</v>
      </c>
      <c r="E23" s="169" t="s">
        <v>13</v>
      </c>
      <c r="F23" s="171" t="s">
        <v>14</v>
      </c>
      <c r="G23" s="169" t="s">
        <v>13</v>
      </c>
      <c r="H23" s="171" t="s">
        <v>14</v>
      </c>
      <c r="I23" s="169" t="s">
        <v>13</v>
      </c>
      <c r="J23" s="171" t="s">
        <v>14</v>
      </c>
      <c r="K23" s="169" t="s">
        <v>13</v>
      </c>
      <c r="L23" s="170" t="s">
        <v>14</v>
      </c>
      <c r="M23" s="169" t="s">
        <v>13</v>
      </c>
      <c r="N23" s="171" t="s">
        <v>14</v>
      </c>
      <c r="O23" s="169" t="s">
        <v>13</v>
      </c>
      <c r="P23" s="170" t="s">
        <v>14</v>
      </c>
      <c r="Q23" s="166" t="s">
        <v>24</v>
      </c>
      <c r="R23" s="170" t="s">
        <v>25</v>
      </c>
      <c r="S23" s="170" t="s">
        <v>20</v>
      </c>
      <c r="T23" s="170" t="s">
        <v>26</v>
      </c>
      <c r="U23" s="169" t="s">
        <v>27</v>
      </c>
      <c r="V23" s="170" t="s">
        <v>28</v>
      </c>
      <c r="W23" s="166" t="s">
        <v>20</v>
      </c>
      <c r="X23" s="171" t="s">
        <v>13</v>
      </c>
      <c r="Y23" s="171" t="s">
        <v>14</v>
      </c>
      <c r="Z23" s="169" t="s">
        <v>13</v>
      </c>
      <c r="AA23" s="170" t="s">
        <v>14</v>
      </c>
      <c r="AB23" s="171" t="s">
        <v>13</v>
      </c>
      <c r="AC23" s="171" t="s">
        <v>14</v>
      </c>
      <c r="AD23" s="171" t="s">
        <v>11</v>
      </c>
      <c r="AE23" s="169" t="s">
        <v>13</v>
      </c>
      <c r="AF23" s="171" t="s">
        <v>14</v>
      </c>
      <c r="AG23" s="170" t="s">
        <v>11</v>
      </c>
      <c r="AH23" s="166" t="s">
        <v>8</v>
      </c>
      <c r="AI23" s="21"/>
    </row>
    <row r="24" spans="3:35" hidden="1" outlineLevel="1" x14ac:dyDescent="0.2">
      <c r="C24" s="21"/>
      <c r="D24" s="10" t="s">
        <v>76</v>
      </c>
      <c r="E24" s="114">
        <f>SUMIF('ISL 8'!$P$5:$P$15,$D24,'ISL 8'!Q$5:Q$15)</f>
        <v>7</v>
      </c>
      <c r="F24" s="115">
        <f>SUMIF('ISL 8'!$P$5:$P$15,$D24,'ISL 8'!R$5:R$15)</f>
        <v>5</v>
      </c>
      <c r="G24" s="114">
        <f>SUMIF('ISL 8'!$P$5:$P$15,$D24,'ISL 8'!S$5:S$15)</f>
        <v>3</v>
      </c>
      <c r="H24" s="115">
        <f>SUMIF('ISL 8'!$P$5:$P$15,$D24,'ISL 8'!T$5:T$15)</f>
        <v>2</v>
      </c>
      <c r="I24" s="114">
        <f>SUMIF('ISL 8'!$P$5:$P$15,$D24,'ISL 8'!U$5:U$15)</f>
        <v>3</v>
      </c>
      <c r="J24" s="115">
        <f>SUMIF('ISL 8'!$P$5:$P$15,$D24,'ISL 8'!V$5:V$15)</f>
        <v>2</v>
      </c>
      <c r="K24" s="114">
        <f>SUMIF('ISL 8'!$P$5:$P$15,$D24,'ISL 8'!W$5:W$15)</f>
        <v>1</v>
      </c>
      <c r="L24" s="116">
        <f>SUMIF('ISL 8'!$P$5:$P$15,$D24,'ISL 8'!X$5:X$15)</f>
        <v>1</v>
      </c>
      <c r="M24" s="114">
        <f>SUMIF('ISL 8'!$P$5:$P$15,$D24,'ISL 8'!Y$5:Y$15)</f>
        <v>13</v>
      </c>
      <c r="N24" s="115">
        <f>SUMIF('ISL 8'!$P$5:$P$15,$D24,'ISL 8'!Z$5:Z$15)</f>
        <v>11</v>
      </c>
      <c r="O24" s="114">
        <f>SUMIF('ISL 8'!$P$5:$P$15,$D24,'ISL 8'!AA$5:AA$15)</f>
        <v>12</v>
      </c>
      <c r="P24" s="115">
        <f>SUMIF('ISL 8'!$P$5:$P$15,$D24,'ISL 8'!AB$5:AB$15)</f>
        <v>8</v>
      </c>
      <c r="Q24" s="16">
        <f t="shared" ref="Q24:Q34" si="31">E24+F24</f>
        <v>12</v>
      </c>
      <c r="R24" s="27">
        <f t="shared" ref="R24:R34" si="32">G24+H24</f>
        <v>5</v>
      </c>
      <c r="S24" s="27">
        <f t="shared" ref="S24:S34" si="33">I24+J24</f>
        <v>5</v>
      </c>
      <c r="T24" s="27">
        <f t="shared" ref="T24:T34" si="34">K24+L24</f>
        <v>2</v>
      </c>
      <c r="U24" s="25">
        <f t="shared" ref="U24:U34" si="35">M24+N24</f>
        <v>24</v>
      </c>
      <c r="V24" s="27">
        <f t="shared" ref="V24:V34" si="36">O24+P24</f>
        <v>20</v>
      </c>
      <c r="W24" s="27">
        <f t="shared" ref="W24:W34" si="37">U24-V24</f>
        <v>4</v>
      </c>
      <c r="X24" s="17">
        <f>IF(E24&gt;0,M24/E24,0)</f>
        <v>1.8571428571428572</v>
      </c>
      <c r="Y24" s="17">
        <f>IF(F24&gt;0,N24/F24,0)</f>
        <v>2.2000000000000002</v>
      </c>
      <c r="Z24" s="18">
        <f>IF(E24&gt;0,O24/E24,0)</f>
        <v>1.7142857142857142</v>
      </c>
      <c r="AA24" s="19">
        <f>IF(F24&gt;0,P24/F24,0)</f>
        <v>1.6</v>
      </c>
      <c r="AB24" s="17">
        <f>IF(X24,X24/X$53,0)</f>
        <v>1.4186507936507937</v>
      </c>
      <c r="AC24" s="17">
        <f>IF(Y24,Y24/Y$53,0)</f>
        <v>1.7042253521126765</v>
      </c>
      <c r="AD24" s="17">
        <f>AVERAGE(AB24,AC24)</f>
        <v>1.5614380728817352</v>
      </c>
      <c r="AE24" s="18">
        <f>IF(Z24,Z24/Z$53,0)</f>
        <v>1.3279678068410463</v>
      </c>
      <c r="AF24" s="17">
        <f>IF(AA24,AA24/AA$53,0)</f>
        <v>1.2222222222222225</v>
      </c>
      <c r="AG24" s="19">
        <f t="shared" ref="AG24:AG34" si="38">AVERAGE(AE24,AF24)</f>
        <v>1.2750950145316344</v>
      </c>
      <c r="AH24" s="34">
        <f t="shared" ref="AH24:AH34" si="39">(R24*3)+(S24*1)</f>
        <v>20</v>
      </c>
      <c r="AI24" s="21"/>
    </row>
    <row r="25" spans="3:35" s="128" customFormat="1" hidden="1" outlineLevel="1" x14ac:dyDescent="0.2">
      <c r="C25" s="104"/>
      <c r="D25" s="132" t="s">
        <v>83</v>
      </c>
      <c r="E25" s="149">
        <f>SUMIF('ISL 8'!$P$5:$P$15,$D25,'ISL 8'!Q$5:Q$15)</f>
        <v>7</v>
      </c>
      <c r="F25" s="150">
        <f>SUMIF('ISL 8'!$P$5:$P$15,$D25,'ISL 8'!R$5:R$15)</f>
        <v>7</v>
      </c>
      <c r="G25" s="149">
        <f>SUMIF('ISL 8'!$P$5:$P$15,$D25,'ISL 8'!S$5:S$15)</f>
        <v>2</v>
      </c>
      <c r="H25" s="150">
        <f>SUMIF('ISL 8'!$P$5:$P$15,$D25,'ISL 8'!T$5:T$15)</f>
        <v>3</v>
      </c>
      <c r="I25" s="149">
        <f>SUMIF('ISL 8'!$P$5:$P$15,$D25,'ISL 8'!U$5:U$15)</f>
        <v>4</v>
      </c>
      <c r="J25" s="150">
        <f>SUMIF('ISL 8'!$P$5:$P$15,$D25,'ISL 8'!V$5:V$15)</f>
        <v>1</v>
      </c>
      <c r="K25" s="149">
        <f>SUMIF('ISL 8'!$P$5:$P$15,$D25,'ISL 8'!W$5:W$15)</f>
        <v>1</v>
      </c>
      <c r="L25" s="151">
        <f>SUMIF('ISL 8'!$P$5:$P$15,$D25,'ISL 8'!X$5:X$15)</f>
        <v>3</v>
      </c>
      <c r="M25" s="149">
        <f>SUMIF('ISL 8'!$P$5:$P$15,$D25,'ISL 8'!Y$5:Y$15)</f>
        <v>14</v>
      </c>
      <c r="N25" s="150">
        <f>SUMIF('ISL 8'!$P$5:$P$15,$D25,'ISL 8'!Z$5:Z$15)</f>
        <v>10</v>
      </c>
      <c r="O25" s="149">
        <f>SUMIF('ISL 8'!$P$5:$P$15,$D25,'ISL 8'!AA$5:AA$15)</f>
        <v>11</v>
      </c>
      <c r="P25" s="150">
        <f>SUMIF('ISL 8'!$P$5:$P$15,$D25,'ISL 8'!AB$5:AB$15)</f>
        <v>8</v>
      </c>
      <c r="Q25" s="136">
        <f t="shared" si="31"/>
        <v>14</v>
      </c>
      <c r="R25" s="135">
        <f t="shared" si="32"/>
        <v>5</v>
      </c>
      <c r="S25" s="135">
        <f t="shared" si="33"/>
        <v>5</v>
      </c>
      <c r="T25" s="135">
        <f t="shared" si="34"/>
        <v>4</v>
      </c>
      <c r="U25" s="133">
        <f t="shared" si="35"/>
        <v>24</v>
      </c>
      <c r="V25" s="135">
        <f t="shared" si="36"/>
        <v>19</v>
      </c>
      <c r="W25" s="135">
        <f t="shared" si="37"/>
        <v>5</v>
      </c>
      <c r="X25" s="105">
        <f t="shared" ref="X25:X26" si="40">IF(E25&gt;0,M25/E25,0)</f>
        <v>2</v>
      </c>
      <c r="Y25" s="105">
        <f t="shared" ref="Y25:Y26" si="41">IF(F25&gt;0,N25/F25,0)</f>
        <v>1.4285714285714286</v>
      </c>
      <c r="Z25" s="137">
        <f t="shared" ref="Z25:Z34" si="42">IF(E25&gt;0,O25/E25,0)</f>
        <v>1.5714285714285714</v>
      </c>
      <c r="AA25" s="138">
        <f>IF(F25&gt;0,P25/F25,0)</f>
        <v>1.1428571428571428</v>
      </c>
      <c r="AB25" s="105">
        <f t="shared" ref="AB25:AB34" si="43">IF(X25,X25/X$53,0)</f>
        <v>1.5277777777777777</v>
      </c>
      <c r="AC25" s="105">
        <f t="shared" ref="AC25:AC34" si="44">IF(Y25,Y25/Y$53,0)</f>
        <v>1.1066398390342054</v>
      </c>
      <c r="AD25" s="105">
        <f t="shared" ref="AD25:AD34" si="45">AVERAGE(AB25,AC25)</f>
        <v>1.3172088084059914</v>
      </c>
      <c r="AE25" s="137">
        <f t="shared" ref="AE25:AE34" si="46">IF(Z25,Z25/Z$53,0)</f>
        <v>1.2173038229376258</v>
      </c>
      <c r="AF25" s="105">
        <f>IF(AA25,AA25/AA$53,0)</f>
        <v>0.87301587301587313</v>
      </c>
      <c r="AG25" s="138">
        <f t="shared" si="38"/>
        <v>1.0451598479767494</v>
      </c>
      <c r="AH25" s="139">
        <f t="shared" si="39"/>
        <v>20</v>
      </c>
      <c r="AI25" s="104"/>
    </row>
    <row r="26" spans="3:35" hidden="1" outlineLevel="1" x14ac:dyDescent="0.2">
      <c r="C26" s="21"/>
      <c r="D26" s="2" t="s">
        <v>84</v>
      </c>
      <c r="E26" s="117">
        <f>SUMIF('ISL 8'!$P$5:$P$15,$D26,'ISL 8'!Q$5:Q$15)</f>
        <v>6</v>
      </c>
      <c r="F26" s="118">
        <f>SUMIF('ISL 8'!$P$5:$P$15,$D26,'ISL 8'!R$5:R$15)</f>
        <v>8</v>
      </c>
      <c r="G26" s="117">
        <f>SUMIF('ISL 8'!$P$5:$P$15,$D26,'ISL 8'!S$5:S$15)</f>
        <v>2</v>
      </c>
      <c r="H26" s="118">
        <f>SUMIF('ISL 8'!$P$5:$P$15,$D26,'ISL 8'!T$5:T$15)</f>
        <v>3</v>
      </c>
      <c r="I26" s="117">
        <f>SUMIF('ISL 8'!$P$5:$P$15,$D26,'ISL 8'!U$5:U$15)</f>
        <v>2</v>
      </c>
      <c r="J26" s="118">
        <f>SUMIF('ISL 8'!$P$5:$P$15,$D26,'ISL 8'!V$5:V$15)</f>
        <v>2</v>
      </c>
      <c r="K26" s="117">
        <f>SUMIF('ISL 8'!$P$5:$P$15,$D26,'ISL 8'!W$5:W$15)</f>
        <v>2</v>
      </c>
      <c r="L26" s="119">
        <f>SUMIF('ISL 8'!$P$5:$P$15,$D26,'ISL 8'!X$5:X$15)</f>
        <v>3</v>
      </c>
      <c r="M26" s="117">
        <f>SUMIF('ISL 8'!$P$5:$P$15,$D26,'ISL 8'!Y$5:Y$15)</f>
        <v>7</v>
      </c>
      <c r="N26" s="118">
        <f>SUMIF('ISL 8'!$P$5:$P$15,$D26,'ISL 8'!Z$5:Z$15)</f>
        <v>7</v>
      </c>
      <c r="O26" s="117">
        <f>SUMIF('ISL 8'!$P$5:$P$15,$D26,'ISL 8'!AA$5:AA$15)</f>
        <v>10</v>
      </c>
      <c r="P26" s="118">
        <f>SUMIF('ISL 8'!$P$5:$P$15,$D26,'ISL 8'!AB$5:AB$15)</f>
        <v>9</v>
      </c>
      <c r="Q26" s="3">
        <f t="shared" si="31"/>
        <v>14</v>
      </c>
      <c r="R26" s="29">
        <f t="shared" si="32"/>
        <v>5</v>
      </c>
      <c r="S26" s="29">
        <f t="shared" si="33"/>
        <v>4</v>
      </c>
      <c r="T26" s="29">
        <f t="shared" si="34"/>
        <v>5</v>
      </c>
      <c r="U26" s="28">
        <f t="shared" si="35"/>
        <v>14</v>
      </c>
      <c r="V26" s="29">
        <f t="shared" si="36"/>
        <v>19</v>
      </c>
      <c r="W26" s="29">
        <f t="shared" si="37"/>
        <v>-5</v>
      </c>
      <c r="X26" s="15">
        <f t="shared" si="40"/>
        <v>1.1666666666666667</v>
      </c>
      <c r="Y26" s="15">
        <f t="shared" si="41"/>
        <v>0.875</v>
      </c>
      <c r="Z26" s="4">
        <f t="shared" si="42"/>
        <v>1.6666666666666667</v>
      </c>
      <c r="AA26" s="5">
        <f t="shared" ref="AA26:AA34" si="47">IF(F26&gt;0,P26/F26,0)</f>
        <v>1.125</v>
      </c>
      <c r="AB26" s="15">
        <f t="shared" si="43"/>
        <v>0.89120370370370372</v>
      </c>
      <c r="AC26" s="15">
        <f t="shared" si="44"/>
        <v>0.67781690140845074</v>
      </c>
      <c r="AD26" s="15">
        <f t="shared" si="45"/>
        <v>0.78451030255607723</v>
      </c>
      <c r="AE26" s="4">
        <f t="shared" si="46"/>
        <v>1.291079812206573</v>
      </c>
      <c r="AF26" s="15">
        <f>IF(AA26,AA26/AA$53,0)</f>
        <v>0.85937500000000011</v>
      </c>
      <c r="AG26" s="5">
        <f t="shared" si="38"/>
        <v>1.0752274061032865</v>
      </c>
      <c r="AH26" s="34">
        <f t="shared" si="39"/>
        <v>19</v>
      </c>
      <c r="AI26" s="21"/>
    </row>
    <row r="27" spans="3:35" hidden="1" outlineLevel="1" x14ac:dyDescent="0.2">
      <c r="C27" s="21"/>
      <c r="D27" s="2" t="s">
        <v>77</v>
      </c>
      <c r="E27" s="117">
        <f>SUMIF('ISL 8'!$P$5:$P$15,$D27,'ISL 8'!Q$5:Q$15)</f>
        <v>7</v>
      </c>
      <c r="F27" s="118">
        <f>SUMIF('ISL 8'!$P$5:$P$15,$D27,'ISL 8'!R$5:R$15)</f>
        <v>8</v>
      </c>
      <c r="G27" s="117">
        <f>SUMIF('ISL 8'!$P$5:$P$15,$D27,'ISL 8'!S$5:S$15)</f>
        <v>0</v>
      </c>
      <c r="H27" s="118">
        <f>SUMIF('ISL 8'!$P$5:$P$15,$D27,'ISL 8'!T$5:T$15)</f>
        <v>1</v>
      </c>
      <c r="I27" s="117">
        <f>SUMIF('ISL 8'!$P$5:$P$15,$D27,'ISL 8'!U$5:U$15)</f>
        <v>4</v>
      </c>
      <c r="J27" s="118">
        <f>SUMIF('ISL 8'!$P$5:$P$15,$D27,'ISL 8'!V$5:V$15)</f>
        <v>3</v>
      </c>
      <c r="K27" s="117">
        <f>SUMIF('ISL 8'!$P$5:$P$15,$D27,'ISL 8'!W$5:W$15)</f>
        <v>3</v>
      </c>
      <c r="L27" s="119">
        <f>SUMIF('ISL 8'!$P$5:$P$15,$D27,'ISL 8'!X$5:X$15)</f>
        <v>4</v>
      </c>
      <c r="M27" s="117">
        <f>SUMIF('ISL 8'!$P$5:$P$15,$D27,'ISL 8'!Y$5:Y$15)</f>
        <v>7</v>
      </c>
      <c r="N27" s="118">
        <f>SUMIF('ISL 8'!$P$5:$P$15,$D27,'ISL 8'!Z$5:Z$15)</f>
        <v>9</v>
      </c>
      <c r="O27" s="117">
        <f>SUMIF('ISL 8'!$P$5:$P$15,$D27,'ISL 8'!AA$5:AA$15)</f>
        <v>15</v>
      </c>
      <c r="P27" s="118">
        <f>SUMIF('ISL 8'!$P$5:$P$15,$D27,'ISL 8'!AB$5:AB$15)</f>
        <v>15</v>
      </c>
      <c r="Q27" s="3">
        <f t="shared" si="31"/>
        <v>15</v>
      </c>
      <c r="R27" s="29">
        <f t="shared" si="32"/>
        <v>1</v>
      </c>
      <c r="S27" s="29">
        <f t="shared" si="33"/>
        <v>7</v>
      </c>
      <c r="T27" s="29">
        <f t="shared" si="34"/>
        <v>7</v>
      </c>
      <c r="U27" s="28">
        <f t="shared" si="35"/>
        <v>16</v>
      </c>
      <c r="V27" s="29">
        <f t="shared" si="36"/>
        <v>30</v>
      </c>
      <c r="W27" s="29">
        <f t="shared" si="37"/>
        <v>-14</v>
      </c>
      <c r="X27" s="15">
        <f>IF(E27&gt;0,M27/E27,0)</f>
        <v>1</v>
      </c>
      <c r="Y27" s="15">
        <f>IF(F27&gt;0,N27/F27,0)</f>
        <v>1.125</v>
      </c>
      <c r="Z27" s="4">
        <f t="shared" si="42"/>
        <v>2.1428571428571428</v>
      </c>
      <c r="AA27" s="5">
        <f t="shared" si="47"/>
        <v>1.875</v>
      </c>
      <c r="AB27" s="15">
        <f t="shared" si="43"/>
        <v>0.76388888888888884</v>
      </c>
      <c r="AC27" s="15">
        <f t="shared" si="44"/>
        <v>0.87147887323943674</v>
      </c>
      <c r="AD27" s="15">
        <f t="shared" si="45"/>
        <v>0.81768388106416279</v>
      </c>
      <c r="AE27" s="4">
        <f t="shared" si="46"/>
        <v>1.659959758551308</v>
      </c>
      <c r="AF27" s="15">
        <f t="shared" ref="AF27:AF34" si="48">IF(AA27,AA27/AA$53,0)</f>
        <v>1.432291666666667</v>
      </c>
      <c r="AG27" s="5">
        <f t="shared" si="38"/>
        <v>1.5461257126089873</v>
      </c>
      <c r="AH27" s="34">
        <f t="shared" si="39"/>
        <v>10</v>
      </c>
      <c r="AI27" s="21"/>
    </row>
    <row r="28" spans="3:35" hidden="1" outlineLevel="1" x14ac:dyDescent="0.2">
      <c r="C28" s="21"/>
      <c r="D28" s="2" t="s">
        <v>80</v>
      </c>
      <c r="E28" s="117">
        <f>SUMIF('ISL 8'!$P$5:$P$15,$D28,'ISL 8'!Q$5:Q$15)</f>
        <v>7</v>
      </c>
      <c r="F28" s="118">
        <f>SUMIF('ISL 8'!$P$5:$P$15,$D28,'ISL 8'!R$5:R$15)</f>
        <v>8</v>
      </c>
      <c r="G28" s="117">
        <f>SUMIF('ISL 8'!$P$5:$P$15,$D28,'ISL 8'!S$5:S$15)</f>
        <v>2</v>
      </c>
      <c r="H28" s="118">
        <f>SUMIF('ISL 8'!$P$5:$P$15,$D28,'ISL 8'!T$5:T$15)</f>
        <v>1</v>
      </c>
      <c r="I28" s="117">
        <f>SUMIF('ISL 8'!$P$5:$P$15,$D28,'ISL 8'!U$5:U$15)</f>
        <v>3</v>
      </c>
      <c r="J28" s="118">
        <f>SUMIF('ISL 8'!$P$5:$P$15,$D28,'ISL 8'!V$5:V$15)</f>
        <v>3</v>
      </c>
      <c r="K28" s="117">
        <f>SUMIF('ISL 8'!$P$5:$P$15,$D28,'ISL 8'!W$5:W$15)</f>
        <v>2</v>
      </c>
      <c r="L28" s="119">
        <f>SUMIF('ISL 8'!$P$5:$P$15,$D28,'ISL 8'!X$5:X$15)</f>
        <v>4</v>
      </c>
      <c r="M28" s="117">
        <f>SUMIF('ISL 8'!$P$5:$P$15,$D28,'ISL 8'!Y$5:Y$15)</f>
        <v>8</v>
      </c>
      <c r="N28" s="118">
        <f>SUMIF('ISL 8'!$P$5:$P$15,$D28,'ISL 8'!Z$5:Z$15)</f>
        <v>10</v>
      </c>
      <c r="O28" s="117">
        <f>SUMIF('ISL 8'!$P$5:$P$15,$D28,'ISL 8'!AA$5:AA$15)</f>
        <v>9</v>
      </c>
      <c r="P28" s="118">
        <f>SUMIF('ISL 8'!$P$5:$P$15,$D28,'ISL 8'!AB$5:AB$15)</f>
        <v>15</v>
      </c>
      <c r="Q28" s="3">
        <f t="shared" si="31"/>
        <v>15</v>
      </c>
      <c r="R28" s="29">
        <f t="shared" si="32"/>
        <v>3</v>
      </c>
      <c r="S28" s="29">
        <f t="shared" si="33"/>
        <v>6</v>
      </c>
      <c r="T28" s="29">
        <f t="shared" si="34"/>
        <v>6</v>
      </c>
      <c r="U28" s="28">
        <f t="shared" si="35"/>
        <v>18</v>
      </c>
      <c r="V28" s="29">
        <f t="shared" si="36"/>
        <v>24</v>
      </c>
      <c r="W28" s="29">
        <f t="shared" si="37"/>
        <v>-6</v>
      </c>
      <c r="X28" s="15">
        <f t="shared" ref="X28:X34" si="49">IF(E28&gt;0,M28/E28,0)</f>
        <v>1.1428571428571428</v>
      </c>
      <c r="Y28" s="15">
        <f t="shared" ref="Y28:Y34" si="50">IF(F28&gt;0,N28/F28,0)</f>
        <v>1.25</v>
      </c>
      <c r="Z28" s="4">
        <f t="shared" si="42"/>
        <v>1.2857142857142858</v>
      </c>
      <c r="AA28" s="5">
        <f t="shared" si="47"/>
        <v>1.875</v>
      </c>
      <c r="AB28" s="15">
        <f t="shared" si="43"/>
        <v>0.87301587301587302</v>
      </c>
      <c r="AC28" s="15">
        <f t="shared" si="44"/>
        <v>0.96830985915492962</v>
      </c>
      <c r="AD28" s="15">
        <f t="shared" si="45"/>
        <v>0.92066286608540127</v>
      </c>
      <c r="AE28" s="4">
        <f t="shared" si="46"/>
        <v>0.9959758551307849</v>
      </c>
      <c r="AF28" s="15">
        <f t="shared" si="48"/>
        <v>1.432291666666667</v>
      </c>
      <c r="AG28" s="5">
        <f t="shared" si="38"/>
        <v>1.2141337608987259</v>
      </c>
      <c r="AH28" s="34">
        <f t="shared" si="39"/>
        <v>15</v>
      </c>
      <c r="AI28" s="21"/>
    </row>
    <row r="29" spans="3:35" hidden="1" outlineLevel="1" x14ac:dyDescent="0.2">
      <c r="C29" s="21"/>
      <c r="D29" s="2" t="s">
        <v>85</v>
      </c>
      <c r="E29" s="117">
        <f>SUMIF('ISL 8'!$P$5:$P$15,$D29,'ISL 8'!Q$5:Q$15)</f>
        <v>5</v>
      </c>
      <c r="F29" s="118">
        <f>SUMIF('ISL 8'!$P$5:$P$15,$D29,'ISL 8'!R$5:R$15)</f>
        <v>9</v>
      </c>
      <c r="G29" s="117">
        <f>SUMIF('ISL 8'!$P$5:$P$15,$D29,'ISL 8'!S$5:S$15)</f>
        <v>3</v>
      </c>
      <c r="H29" s="118">
        <f>SUMIF('ISL 8'!$P$5:$P$15,$D29,'ISL 8'!T$5:T$15)</f>
        <v>4</v>
      </c>
      <c r="I29" s="117">
        <f>SUMIF('ISL 8'!$P$5:$P$15,$D29,'ISL 8'!U$5:U$15)</f>
        <v>1</v>
      </c>
      <c r="J29" s="118">
        <f>SUMIF('ISL 8'!$P$5:$P$15,$D29,'ISL 8'!V$5:V$15)</f>
        <v>4</v>
      </c>
      <c r="K29" s="117">
        <f>SUMIF('ISL 8'!$P$5:$P$15,$D29,'ISL 8'!W$5:W$15)</f>
        <v>1</v>
      </c>
      <c r="L29" s="119">
        <f>SUMIF('ISL 8'!$P$5:$P$15,$D29,'ISL 8'!X$5:X$15)</f>
        <v>1</v>
      </c>
      <c r="M29" s="117">
        <f>SUMIF('ISL 8'!$P$5:$P$15,$D29,'ISL 8'!Y$5:Y$15)</f>
        <v>13</v>
      </c>
      <c r="N29" s="118">
        <f>SUMIF('ISL 8'!$P$5:$P$15,$D29,'ISL 8'!Z$5:Z$15)</f>
        <v>20</v>
      </c>
      <c r="O29" s="117">
        <f>SUMIF('ISL 8'!$P$5:$P$15,$D29,'ISL 8'!AA$5:AA$15)</f>
        <v>4</v>
      </c>
      <c r="P29" s="118">
        <f>SUMIF('ISL 8'!$P$5:$P$15,$D29,'ISL 8'!AB$5:AB$15)</f>
        <v>9</v>
      </c>
      <c r="Q29" s="3">
        <f t="shared" si="31"/>
        <v>14</v>
      </c>
      <c r="R29" s="29">
        <f t="shared" si="32"/>
        <v>7</v>
      </c>
      <c r="S29" s="29">
        <f t="shared" si="33"/>
        <v>5</v>
      </c>
      <c r="T29" s="29">
        <f t="shared" si="34"/>
        <v>2</v>
      </c>
      <c r="U29" s="28">
        <f t="shared" si="35"/>
        <v>33</v>
      </c>
      <c r="V29" s="29">
        <f t="shared" si="36"/>
        <v>13</v>
      </c>
      <c r="W29" s="29">
        <f t="shared" si="37"/>
        <v>20</v>
      </c>
      <c r="X29" s="15">
        <f t="shared" si="49"/>
        <v>2.6</v>
      </c>
      <c r="Y29" s="15">
        <f t="shared" si="50"/>
        <v>2.2222222222222223</v>
      </c>
      <c r="Z29" s="4">
        <f t="shared" si="42"/>
        <v>0.8</v>
      </c>
      <c r="AA29" s="5">
        <f t="shared" si="47"/>
        <v>1</v>
      </c>
      <c r="AB29" s="15">
        <f t="shared" si="43"/>
        <v>1.9861111111111112</v>
      </c>
      <c r="AC29" s="15">
        <f t="shared" si="44"/>
        <v>1.7214397496087639</v>
      </c>
      <c r="AD29" s="15">
        <f t="shared" si="45"/>
        <v>1.8537754303599376</v>
      </c>
      <c r="AE29" s="4">
        <f t="shared" si="46"/>
        <v>0.61971830985915499</v>
      </c>
      <c r="AF29" s="15">
        <f t="shared" si="48"/>
        <v>0.76388888888888906</v>
      </c>
      <c r="AG29" s="5">
        <f t="shared" si="38"/>
        <v>0.69180359937402203</v>
      </c>
      <c r="AH29" s="34">
        <f t="shared" si="39"/>
        <v>26</v>
      </c>
      <c r="AI29" s="21"/>
    </row>
    <row r="30" spans="3:35" hidden="1" outlineLevel="1" x14ac:dyDescent="0.2">
      <c r="C30" s="21"/>
      <c r="D30" s="2" t="s">
        <v>82</v>
      </c>
      <c r="E30" s="117">
        <f>SUMIF('ISL 8'!$P$5:$P$15,$D30,'ISL 8'!Q$5:Q$15)</f>
        <v>7</v>
      </c>
      <c r="F30" s="118">
        <f>SUMIF('ISL 8'!$P$5:$P$15,$D30,'ISL 8'!R$5:R$15)</f>
        <v>5</v>
      </c>
      <c r="G30" s="117">
        <f>SUMIF('ISL 8'!$P$5:$P$15,$D30,'ISL 8'!S$5:S$15)</f>
        <v>4</v>
      </c>
      <c r="H30" s="118">
        <f>SUMIF('ISL 8'!$P$5:$P$15,$D30,'ISL 8'!T$5:T$15)</f>
        <v>2</v>
      </c>
      <c r="I30" s="117">
        <f>SUMIF('ISL 8'!$P$5:$P$15,$D30,'ISL 8'!U$5:U$15)</f>
        <v>2</v>
      </c>
      <c r="J30" s="118">
        <f>SUMIF('ISL 8'!$P$5:$P$15,$D30,'ISL 8'!V$5:V$15)</f>
        <v>2</v>
      </c>
      <c r="K30" s="117">
        <f>SUMIF('ISL 8'!$P$5:$P$15,$D30,'ISL 8'!W$5:W$15)</f>
        <v>1</v>
      </c>
      <c r="L30" s="119">
        <f>SUMIF('ISL 8'!$P$5:$P$15,$D30,'ISL 8'!X$5:X$15)</f>
        <v>1</v>
      </c>
      <c r="M30" s="117">
        <f>SUMIF('ISL 8'!$P$5:$P$15,$D30,'ISL 8'!Y$5:Y$15)</f>
        <v>8</v>
      </c>
      <c r="N30" s="118">
        <f>SUMIF('ISL 8'!$P$5:$P$15,$D30,'ISL 8'!Z$5:Z$15)</f>
        <v>11</v>
      </c>
      <c r="O30" s="117">
        <f>SUMIF('ISL 8'!$P$5:$P$15,$D30,'ISL 8'!AA$5:AA$15)</f>
        <v>5</v>
      </c>
      <c r="P30" s="118">
        <f>SUMIF('ISL 8'!$P$5:$P$15,$D30,'ISL 8'!AB$5:AB$15)</f>
        <v>7</v>
      </c>
      <c r="Q30" s="3">
        <f t="shared" si="31"/>
        <v>12</v>
      </c>
      <c r="R30" s="29">
        <f t="shared" si="32"/>
        <v>6</v>
      </c>
      <c r="S30" s="29">
        <f t="shared" si="33"/>
        <v>4</v>
      </c>
      <c r="T30" s="29">
        <f t="shared" si="34"/>
        <v>2</v>
      </c>
      <c r="U30" s="28">
        <f t="shared" si="35"/>
        <v>19</v>
      </c>
      <c r="V30" s="29">
        <f t="shared" si="36"/>
        <v>12</v>
      </c>
      <c r="W30" s="29">
        <f t="shared" si="37"/>
        <v>7</v>
      </c>
      <c r="X30" s="15">
        <f t="shared" si="49"/>
        <v>1.1428571428571428</v>
      </c>
      <c r="Y30" s="15">
        <f t="shared" si="50"/>
        <v>2.2000000000000002</v>
      </c>
      <c r="Z30" s="4">
        <f t="shared" si="42"/>
        <v>0.7142857142857143</v>
      </c>
      <c r="AA30" s="5">
        <f t="shared" si="47"/>
        <v>1.4</v>
      </c>
      <c r="AB30" s="15">
        <f t="shared" si="43"/>
        <v>0.87301587301587302</v>
      </c>
      <c r="AC30" s="15">
        <f t="shared" si="44"/>
        <v>1.7042253521126765</v>
      </c>
      <c r="AD30" s="15">
        <f t="shared" si="45"/>
        <v>1.2886206125642747</v>
      </c>
      <c r="AE30" s="4">
        <f t="shared" si="46"/>
        <v>0.55331991951710269</v>
      </c>
      <c r="AF30" s="15">
        <f t="shared" si="48"/>
        <v>1.0694444444444446</v>
      </c>
      <c r="AG30" s="5">
        <f t="shared" si="38"/>
        <v>0.81138218198077361</v>
      </c>
      <c r="AH30" s="34">
        <f t="shared" si="39"/>
        <v>22</v>
      </c>
      <c r="AI30" s="21"/>
    </row>
    <row r="31" spans="3:35" hidden="1" outlineLevel="1" x14ac:dyDescent="0.2">
      <c r="C31" s="21"/>
      <c r="D31" s="2" t="s">
        <v>78</v>
      </c>
      <c r="E31" s="117">
        <f>SUMIF('ISL 8'!$P$5:$P$15,$D31,'ISL 8'!Q$5:Q$15)</f>
        <v>5</v>
      </c>
      <c r="F31" s="118">
        <f>SUMIF('ISL 8'!$P$5:$P$15,$D31,'ISL 8'!R$5:R$15)</f>
        <v>7</v>
      </c>
      <c r="G31" s="117">
        <f>SUMIF('ISL 8'!$P$5:$P$15,$D31,'ISL 8'!S$5:S$15)</f>
        <v>2</v>
      </c>
      <c r="H31" s="118">
        <f>SUMIF('ISL 8'!$P$5:$P$15,$D31,'ISL 8'!T$5:T$15)</f>
        <v>3</v>
      </c>
      <c r="I31" s="117">
        <f>SUMIF('ISL 8'!$P$5:$P$15,$D31,'ISL 8'!U$5:U$15)</f>
        <v>2</v>
      </c>
      <c r="J31" s="118">
        <f>SUMIF('ISL 8'!$P$5:$P$15,$D31,'ISL 8'!V$5:V$15)</f>
        <v>3</v>
      </c>
      <c r="K31" s="117">
        <f>SUMIF('ISL 8'!$P$5:$P$15,$D31,'ISL 8'!W$5:W$15)</f>
        <v>1</v>
      </c>
      <c r="L31" s="119">
        <f>SUMIF('ISL 8'!$P$5:$P$15,$D31,'ISL 8'!X$5:X$15)</f>
        <v>1</v>
      </c>
      <c r="M31" s="117">
        <f>SUMIF('ISL 8'!$P$5:$P$15,$D31,'ISL 8'!Y$5:Y$15)</f>
        <v>6</v>
      </c>
      <c r="N31" s="118">
        <f>SUMIF('ISL 8'!$P$5:$P$15,$D31,'ISL 8'!Z$5:Z$15)</f>
        <v>12</v>
      </c>
      <c r="O31" s="117">
        <f>SUMIF('ISL 8'!$P$5:$P$15,$D31,'ISL 8'!AA$5:AA$15)</f>
        <v>5</v>
      </c>
      <c r="P31" s="118">
        <f>SUMIF('ISL 8'!$P$5:$P$15,$D31,'ISL 8'!AB$5:AB$15)</f>
        <v>6</v>
      </c>
      <c r="Q31" s="3">
        <f t="shared" si="31"/>
        <v>12</v>
      </c>
      <c r="R31" s="29">
        <f t="shared" si="32"/>
        <v>5</v>
      </c>
      <c r="S31" s="29">
        <f t="shared" si="33"/>
        <v>5</v>
      </c>
      <c r="T31" s="29">
        <f t="shared" si="34"/>
        <v>2</v>
      </c>
      <c r="U31" s="28">
        <f t="shared" si="35"/>
        <v>18</v>
      </c>
      <c r="V31" s="29">
        <f t="shared" si="36"/>
        <v>11</v>
      </c>
      <c r="W31" s="29">
        <f t="shared" si="37"/>
        <v>7</v>
      </c>
      <c r="X31" s="15">
        <f t="shared" si="49"/>
        <v>1.2</v>
      </c>
      <c r="Y31" s="15">
        <f t="shared" si="50"/>
        <v>1.7142857142857142</v>
      </c>
      <c r="Z31" s="4">
        <f t="shared" si="42"/>
        <v>1</v>
      </c>
      <c r="AA31" s="5">
        <f t="shared" si="47"/>
        <v>0.8571428571428571</v>
      </c>
      <c r="AB31" s="15">
        <f t="shared" si="43"/>
        <v>0.91666666666666663</v>
      </c>
      <c r="AC31" s="15">
        <f t="shared" si="44"/>
        <v>1.3279678068410463</v>
      </c>
      <c r="AD31" s="15">
        <f t="shared" si="45"/>
        <v>1.1223172367538565</v>
      </c>
      <c r="AE31" s="4">
        <f t="shared" si="46"/>
        <v>0.77464788732394374</v>
      </c>
      <c r="AF31" s="15">
        <f t="shared" si="48"/>
        <v>0.65476190476190488</v>
      </c>
      <c r="AG31" s="5">
        <f t="shared" si="38"/>
        <v>0.71470489604292431</v>
      </c>
      <c r="AH31" s="34">
        <f t="shared" si="39"/>
        <v>20</v>
      </c>
      <c r="AI31" s="21"/>
    </row>
    <row r="32" spans="3:35" hidden="1" outlineLevel="1" x14ac:dyDescent="0.2">
      <c r="C32" s="21"/>
      <c r="D32" s="2" t="s">
        <v>86</v>
      </c>
      <c r="E32" s="117">
        <f>SUMIF('ISL 8'!$P$5:$P$15,$D32,'ISL 8'!Q$5:Q$15)</f>
        <v>8</v>
      </c>
      <c r="F32" s="118">
        <f>SUMIF('ISL 8'!$P$5:$P$15,$D32,'ISL 8'!R$5:R$15)</f>
        <v>5</v>
      </c>
      <c r="G32" s="117">
        <f>SUMIF('ISL 8'!$P$5:$P$15,$D32,'ISL 8'!S$5:S$15)</f>
        <v>3</v>
      </c>
      <c r="H32" s="118">
        <f>SUMIF('ISL 8'!$P$5:$P$15,$D32,'ISL 8'!T$5:T$15)</f>
        <v>2</v>
      </c>
      <c r="I32" s="117">
        <f>SUMIF('ISL 8'!$P$5:$P$15,$D32,'ISL 8'!U$5:U$15)</f>
        <v>2</v>
      </c>
      <c r="J32" s="118">
        <f>SUMIF('ISL 8'!$P$5:$P$15,$D32,'ISL 8'!V$5:V$15)</f>
        <v>2</v>
      </c>
      <c r="K32" s="117">
        <f>SUMIF('ISL 8'!$P$5:$P$15,$D32,'ISL 8'!W$5:W$15)</f>
        <v>3</v>
      </c>
      <c r="L32" s="119">
        <f>SUMIF('ISL 8'!$P$5:$P$15,$D32,'ISL 8'!X$5:X$15)</f>
        <v>1</v>
      </c>
      <c r="M32" s="117">
        <f>SUMIF('ISL 8'!$P$5:$P$15,$D32,'ISL 8'!Y$5:Y$15)</f>
        <v>11</v>
      </c>
      <c r="N32" s="118">
        <f>SUMIF('ISL 8'!$P$5:$P$15,$D32,'ISL 8'!Z$5:Z$15)</f>
        <v>13</v>
      </c>
      <c r="O32" s="117">
        <f>SUMIF('ISL 8'!$P$5:$P$15,$D32,'ISL 8'!AA$5:AA$15)</f>
        <v>13</v>
      </c>
      <c r="P32" s="118">
        <f>SUMIF('ISL 8'!$P$5:$P$15,$D32,'ISL 8'!AB$5:AB$15)</f>
        <v>9</v>
      </c>
      <c r="Q32" s="3">
        <f t="shared" si="31"/>
        <v>13</v>
      </c>
      <c r="R32" s="29">
        <f t="shared" si="32"/>
        <v>5</v>
      </c>
      <c r="S32" s="29">
        <f t="shared" si="33"/>
        <v>4</v>
      </c>
      <c r="T32" s="29">
        <f t="shared" si="34"/>
        <v>4</v>
      </c>
      <c r="U32" s="28">
        <f t="shared" si="35"/>
        <v>24</v>
      </c>
      <c r="V32" s="29">
        <f t="shared" si="36"/>
        <v>22</v>
      </c>
      <c r="W32" s="29">
        <f t="shared" si="37"/>
        <v>2</v>
      </c>
      <c r="X32" s="15">
        <f t="shared" si="49"/>
        <v>1.375</v>
      </c>
      <c r="Y32" s="15">
        <f t="shared" si="50"/>
        <v>2.6</v>
      </c>
      <c r="Z32" s="4">
        <f t="shared" si="42"/>
        <v>1.625</v>
      </c>
      <c r="AA32" s="5">
        <f t="shared" si="47"/>
        <v>1.8</v>
      </c>
      <c r="AB32" s="15">
        <f t="shared" si="43"/>
        <v>1.0503472222222223</v>
      </c>
      <c r="AC32" s="15">
        <f t="shared" si="44"/>
        <v>2.0140845070422539</v>
      </c>
      <c r="AD32" s="15">
        <f t="shared" si="45"/>
        <v>1.5322158646322381</v>
      </c>
      <c r="AE32" s="4">
        <f t="shared" si="46"/>
        <v>1.2588028169014085</v>
      </c>
      <c r="AF32" s="15">
        <f t="shared" si="48"/>
        <v>1.3750000000000002</v>
      </c>
      <c r="AG32" s="5">
        <f t="shared" si="38"/>
        <v>1.3169014084507045</v>
      </c>
      <c r="AH32" s="34">
        <f t="shared" si="39"/>
        <v>19</v>
      </c>
      <c r="AI32" s="21"/>
    </row>
    <row r="33" spans="3:45" hidden="1" outlineLevel="1" x14ac:dyDescent="0.2">
      <c r="C33" s="21"/>
      <c r="D33" s="2" t="s">
        <v>79</v>
      </c>
      <c r="E33" s="117">
        <f>SUMIF('ISL 8'!$P$5:$P$15,$D33,'ISL 8'!Q$5:Q$15)</f>
        <v>8</v>
      </c>
      <c r="F33" s="120">
        <f>SUMIF('ISL 8'!$P$5:$P$15,$D33,'ISL 8'!R$5:R$15)</f>
        <v>7</v>
      </c>
      <c r="G33" s="117">
        <f>SUMIF('ISL 8'!$P$5:$P$15,$D33,'ISL 8'!S$5:S$15)</f>
        <v>2</v>
      </c>
      <c r="H33" s="120">
        <f>SUMIF('ISL 8'!$P$5:$P$15,$D33,'ISL 8'!T$5:T$15)</f>
        <v>0</v>
      </c>
      <c r="I33" s="117">
        <f>SUMIF('ISL 8'!$P$5:$P$15,$D33,'ISL 8'!U$5:U$15)</f>
        <v>2</v>
      </c>
      <c r="J33" s="120">
        <f>SUMIF('ISL 8'!$P$5:$P$15,$D33,'ISL 8'!V$5:V$15)</f>
        <v>2</v>
      </c>
      <c r="K33" s="117">
        <f>SUMIF('ISL 8'!$P$5:$P$15,$D33,'ISL 8'!W$5:W$15)</f>
        <v>4</v>
      </c>
      <c r="L33" s="119">
        <f>SUMIF('ISL 8'!$P$5:$P$15,$D33,'ISL 8'!X$5:X$15)</f>
        <v>5</v>
      </c>
      <c r="M33" s="117">
        <f>SUMIF('ISL 8'!$P$5:$P$15,$D33,'ISL 8'!Y$5:Y$15)</f>
        <v>10</v>
      </c>
      <c r="N33" s="120">
        <f>SUMIF('ISL 8'!$P$5:$P$15,$D33,'ISL 8'!Z$5:Z$15)</f>
        <v>8</v>
      </c>
      <c r="O33" s="117">
        <f>SUMIF('ISL 8'!$P$5:$P$15,$D33,'ISL 8'!AA$5:AA$15)</f>
        <v>16</v>
      </c>
      <c r="P33" s="120">
        <f>SUMIF('ISL 8'!$P$5:$P$15,$D33,'ISL 8'!AB$5:AB$15)</f>
        <v>17</v>
      </c>
      <c r="Q33" s="3">
        <f t="shared" si="31"/>
        <v>15</v>
      </c>
      <c r="R33" s="29">
        <f t="shared" si="32"/>
        <v>2</v>
      </c>
      <c r="S33" s="29">
        <f t="shared" si="33"/>
        <v>4</v>
      </c>
      <c r="T33" s="29">
        <f t="shared" si="34"/>
        <v>9</v>
      </c>
      <c r="U33" s="28">
        <f t="shared" si="35"/>
        <v>18</v>
      </c>
      <c r="V33" s="29">
        <f t="shared" si="36"/>
        <v>33</v>
      </c>
      <c r="W33" s="29">
        <f t="shared" si="37"/>
        <v>-15</v>
      </c>
      <c r="X33" s="51">
        <f t="shared" si="49"/>
        <v>1.25</v>
      </c>
      <c r="Y33" s="51">
        <f t="shared" si="50"/>
        <v>1.1428571428571428</v>
      </c>
      <c r="Z33" s="4">
        <f t="shared" si="42"/>
        <v>2</v>
      </c>
      <c r="AA33" s="5">
        <f t="shared" si="47"/>
        <v>2.4285714285714284</v>
      </c>
      <c r="AB33" s="51">
        <f t="shared" si="43"/>
        <v>0.95486111111111116</v>
      </c>
      <c r="AC33" s="51">
        <f t="shared" si="44"/>
        <v>0.88531187122736421</v>
      </c>
      <c r="AD33" s="51">
        <f t="shared" si="45"/>
        <v>0.92008649116923769</v>
      </c>
      <c r="AE33" s="4">
        <f t="shared" si="46"/>
        <v>1.5492957746478875</v>
      </c>
      <c r="AF33" s="51">
        <f t="shared" si="48"/>
        <v>1.8551587301587302</v>
      </c>
      <c r="AG33" s="5">
        <f t="shared" si="38"/>
        <v>1.7022272524033089</v>
      </c>
      <c r="AH33" s="34">
        <f t="shared" si="39"/>
        <v>10</v>
      </c>
      <c r="AI33" s="21"/>
    </row>
    <row r="34" spans="3:45" ht="17" hidden="1" outlineLevel="1" thickBot="1" x14ac:dyDescent="0.25">
      <c r="C34" s="1"/>
      <c r="D34" s="33" t="s">
        <v>81</v>
      </c>
      <c r="E34" s="121">
        <f>SUMIF('ISL 8'!$P$5:$P$15,$D34,'ISL 8'!Q$5:Q$15)</f>
        <v>8</v>
      </c>
      <c r="F34" s="122">
        <f>SUMIF('ISL 8'!$P$5:$P$15,$D34,'ISL 8'!R$5:R$15)</f>
        <v>6</v>
      </c>
      <c r="G34" s="121">
        <f>SUMIF('ISL 8'!$P$5:$P$15,$D34,'ISL 8'!S$5:S$15)</f>
        <v>4</v>
      </c>
      <c r="H34" s="122">
        <f>SUMIF('ISL 8'!$P$5:$P$15,$D34,'ISL 8'!T$5:T$15)</f>
        <v>1</v>
      </c>
      <c r="I34" s="121">
        <f>SUMIF('ISL 8'!$P$5:$P$15,$D34,'ISL 8'!U$5:U$15)</f>
        <v>1</v>
      </c>
      <c r="J34" s="122">
        <f>SUMIF('ISL 8'!$P$5:$P$15,$D34,'ISL 8'!V$5:V$15)</f>
        <v>2</v>
      </c>
      <c r="K34" s="121">
        <f>SUMIF('ISL 8'!$P$5:$P$15,$D34,'ISL 8'!W$5:W$15)</f>
        <v>3</v>
      </c>
      <c r="L34" s="123">
        <f>SUMIF('ISL 8'!$P$5:$P$15,$D34,'ISL 8'!X$5:X$15)</f>
        <v>3</v>
      </c>
      <c r="M34" s="121">
        <f>SUMIF('ISL 8'!$P$5:$P$15,$D34,'ISL 8'!Y$5:Y$15)</f>
        <v>17</v>
      </c>
      <c r="N34" s="122">
        <f>SUMIF('ISL 8'!$P$5:$P$15,$D34,'ISL 8'!Z$5:Z$15)</f>
        <v>6</v>
      </c>
      <c r="O34" s="121">
        <f>SUMIF('ISL 8'!$P$5:$P$15,$D34,'ISL 8'!AA$5:AA$15)</f>
        <v>17</v>
      </c>
      <c r="P34" s="122">
        <f>SUMIF('ISL 8'!$P$5:$P$15,$D34,'ISL 8'!AB$5:AB$15)</f>
        <v>11</v>
      </c>
      <c r="Q34" s="6">
        <f t="shared" si="31"/>
        <v>14</v>
      </c>
      <c r="R34" s="32">
        <f t="shared" si="32"/>
        <v>5</v>
      </c>
      <c r="S34" s="32">
        <f t="shared" si="33"/>
        <v>3</v>
      </c>
      <c r="T34" s="32">
        <f t="shared" si="34"/>
        <v>6</v>
      </c>
      <c r="U34" s="30">
        <f t="shared" si="35"/>
        <v>23</v>
      </c>
      <c r="V34" s="32">
        <f t="shared" si="36"/>
        <v>28</v>
      </c>
      <c r="W34" s="32">
        <f t="shared" si="37"/>
        <v>-5</v>
      </c>
      <c r="X34" s="8">
        <f t="shared" si="49"/>
        <v>2.125</v>
      </c>
      <c r="Y34" s="8">
        <f t="shared" si="50"/>
        <v>1</v>
      </c>
      <c r="Z34" s="7">
        <f t="shared" si="42"/>
        <v>2.125</v>
      </c>
      <c r="AA34" s="9">
        <f t="shared" si="47"/>
        <v>1.8333333333333333</v>
      </c>
      <c r="AB34" s="8">
        <f t="shared" si="43"/>
        <v>1.6232638888888888</v>
      </c>
      <c r="AC34" s="8">
        <f t="shared" si="44"/>
        <v>0.77464788732394374</v>
      </c>
      <c r="AD34" s="8">
        <f t="shared" si="45"/>
        <v>1.1989558881064162</v>
      </c>
      <c r="AE34" s="7">
        <f t="shared" si="46"/>
        <v>1.6461267605633805</v>
      </c>
      <c r="AF34" s="8">
        <f t="shared" si="48"/>
        <v>1.4004629629629632</v>
      </c>
      <c r="AG34" s="9">
        <f t="shared" si="38"/>
        <v>1.5232948617631719</v>
      </c>
      <c r="AH34" s="36">
        <f t="shared" si="39"/>
        <v>18</v>
      </c>
      <c r="AI34" s="1"/>
    </row>
    <row r="35" spans="3:45" hidden="1" outlineLevel="1" x14ac:dyDescent="0.2">
      <c r="C35" s="21"/>
      <c r="D35" s="172" t="s">
        <v>1</v>
      </c>
      <c r="E35" s="172"/>
      <c r="F35" s="167"/>
      <c r="G35" s="172"/>
      <c r="H35" s="167"/>
      <c r="I35" s="172"/>
      <c r="J35" s="167"/>
      <c r="K35" s="172"/>
      <c r="L35" s="24"/>
      <c r="M35" s="172">
        <f>SUM(M24:M34)</f>
        <v>114</v>
      </c>
      <c r="N35" s="167">
        <f>SUM(N24:N34)</f>
        <v>117</v>
      </c>
      <c r="O35" s="172">
        <f>SUM(O24:O34)</f>
        <v>117</v>
      </c>
      <c r="P35" s="167">
        <f>SUM(P24:P34)</f>
        <v>114</v>
      </c>
      <c r="Q35" s="11">
        <f>SUM(Q24:Q34)/2</f>
        <v>75</v>
      </c>
      <c r="R35" s="24">
        <f>SUM(R24:R34)/2</f>
        <v>24.5</v>
      </c>
      <c r="S35" s="24">
        <f>SUM(S24:S34)/2</f>
        <v>26</v>
      </c>
      <c r="T35" s="24">
        <f>SUM(T24:T34)/2</f>
        <v>24.5</v>
      </c>
      <c r="U35" s="172">
        <f>SUM(U24:U34)</f>
        <v>231</v>
      </c>
      <c r="V35" s="24">
        <f>SUM(V24:V34)</f>
        <v>231</v>
      </c>
      <c r="W35" s="24"/>
      <c r="X35" s="12">
        <f>AVERAGE(X24:X34)</f>
        <v>1.5326839826839824</v>
      </c>
      <c r="Y35" s="12">
        <f>AVERAGE(Y24:Y34)</f>
        <v>1.6143578643578642</v>
      </c>
      <c r="Z35" s="13">
        <f>AVERAGE(Z24:Z34)</f>
        <v>1.5132034632034632</v>
      </c>
      <c r="AA35" s="14">
        <f>AVERAGE(AA24:AA34)</f>
        <v>1.5397186147186148</v>
      </c>
      <c r="AB35" s="12"/>
      <c r="AC35" s="12"/>
      <c r="AD35" s="12"/>
      <c r="AE35" s="13"/>
      <c r="AF35" s="12"/>
      <c r="AG35" s="14"/>
      <c r="AH35" s="35"/>
      <c r="AI35" s="21"/>
    </row>
    <row r="36" spans="3:45" collapsed="1" x14ac:dyDescent="0.2">
      <c r="AS36" s="21"/>
    </row>
    <row r="37" spans="3:45" x14ac:dyDescent="0.2">
      <c r="AS37" s="21"/>
    </row>
    <row r="38" spans="3:45" x14ac:dyDescent="0.2">
      <c r="C38" s="111" t="s">
        <v>75</v>
      </c>
    </row>
    <row r="39" spans="3:45" hidden="1" outlineLevel="1" x14ac:dyDescent="0.2">
      <c r="D39" s="21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190" t="s">
        <v>12</v>
      </c>
      <c r="Y39" s="191"/>
      <c r="Z39" s="191"/>
      <c r="AA39" s="191"/>
      <c r="AB39" s="191"/>
      <c r="AC39" s="191"/>
      <c r="AD39" s="191"/>
      <c r="AE39" s="191"/>
      <c r="AF39" s="191"/>
      <c r="AG39" s="192"/>
      <c r="AH39" s="21"/>
      <c r="AI39" s="21"/>
    </row>
    <row r="40" spans="3:45" hidden="1" outlineLevel="1" x14ac:dyDescent="0.2">
      <c r="C40" s="21"/>
      <c r="D40" s="21"/>
      <c r="E40" s="186" t="s">
        <v>4</v>
      </c>
      <c r="F40" s="186"/>
      <c r="G40" s="186" t="s">
        <v>7</v>
      </c>
      <c r="H40" s="186"/>
      <c r="I40" s="186" t="s">
        <v>0</v>
      </c>
      <c r="J40" s="186"/>
      <c r="K40" s="186" t="s">
        <v>5</v>
      </c>
      <c r="L40" s="186"/>
      <c r="M40" s="186" t="s">
        <v>9</v>
      </c>
      <c r="N40" s="186"/>
      <c r="O40" s="186" t="s">
        <v>10</v>
      </c>
      <c r="P40" s="186"/>
      <c r="Q40" s="45"/>
      <c r="R40" s="45"/>
      <c r="S40" s="45"/>
      <c r="T40" s="45"/>
      <c r="U40" s="45"/>
      <c r="V40" s="45"/>
      <c r="W40" s="21"/>
      <c r="X40" s="190" t="s">
        <v>16</v>
      </c>
      <c r="Y40" s="192"/>
      <c r="Z40" s="193" t="s">
        <v>17</v>
      </c>
      <c r="AA40" s="194"/>
      <c r="AB40" s="195" t="s">
        <v>15</v>
      </c>
      <c r="AC40" s="195"/>
      <c r="AD40" s="195"/>
      <c r="AE40" s="193" t="s">
        <v>18</v>
      </c>
      <c r="AF40" s="195"/>
      <c r="AG40" s="194"/>
      <c r="AH40" s="21"/>
      <c r="AI40" s="21"/>
    </row>
    <row r="41" spans="3:45" hidden="1" outlineLevel="1" x14ac:dyDescent="0.2">
      <c r="C41" s="21"/>
      <c r="D41" s="108" t="s">
        <v>6</v>
      </c>
      <c r="E41" s="108" t="s">
        <v>13</v>
      </c>
      <c r="F41" s="109" t="s">
        <v>14</v>
      </c>
      <c r="G41" s="108" t="s">
        <v>13</v>
      </c>
      <c r="H41" s="109" t="s">
        <v>14</v>
      </c>
      <c r="I41" s="108" t="s">
        <v>13</v>
      </c>
      <c r="J41" s="109" t="s">
        <v>14</v>
      </c>
      <c r="K41" s="108" t="s">
        <v>13</v>
      </c>
      <c r="L41" s="110" t="s">
        <v>14</v>
      </c>
      <c r="M41" s="108" t="s">
        <v>13</v>
      </c>
      <c r="N41" s="109" t="s">
        <v>14</v>
      </c>
      <c r="O41" s="108" t="s">
        <v>13</v>
      </c>
      <c r="P41" s="110" t="s">
        <v>14</v>
      </c>
      <c r="Q41" s="112" t="s">
        <v>24</v>
      </c>
      <c r="R41" s="110" t="s">
        <v>25</v>
      </c>
      <c r="S41" s="110" t="s">
        <v>20</v>
      </c>
      <c r="T41" s="110" t="s">
        <v>26</v>
      </c>
      <c r="U41" s="108" t="s">
        <v>27</v>
      </c>
      <c r="V41" s="110" t="s">
        <v>28</v>
      </c>
      <c r="W41" s="112" t="s">
        <v>20</v>
      </c>
      <c r="X41" s="109" t="s">
        <v>13</v>
      </c>
      <c r="Y41" s="109" t="s">
        <v>14</v>
      </c>
      <c r="Z41" s="108" t="s">
        <v>13</v>
      </c>
      <c r="AA41" s="110" t="s">
        <v>14</v>
      </c>
      <c r="AB41" s="109" t="s">
        <v>13</v>
      </c>
      <c r="AC41" s="109" t="s">
        <v>14</v>
      </c>
      <c r="AD41" s="109" t="s">
        <v>11</v>
      </c>
      <c r="AE41" s="108" t="s">
        <v>13</v>
      </c>
      <c r="AF41" s="109" t="s">
        <v>14</v>
      </c>
      <c r="AG41" s="110" t="s">
        <v>11</v>
      </c>
      <c r="AH41" s="112" t="s">
        <v>8</v>
      </c>
      <c r="AI41" s="21"/>
    </row>
    <row r="42" spans="3:45" hidden="1" outlineLevel="1" x14ac:dyDescent="0.2">
      <c r="C42" s="21"/>
      <c r="D42" s="10" t="s">
        <v>76</v>
      </c>
      <c r="E42" s="173">
        <v>10</v>
      </c>
      <c r="F42" s="174">
        <v>10</v>
      </c>
      <c r="G42" s="173">
        <v>8</v>
      </c>
      <c r="H42" s="174">
        <v>4</v>
      </c>
      <c r="I42" s="173">
        <v>1</v>
      </c>
      <c r="J42" s="174">
        <v>3</v>
      </c>
      <c r="K42" s="173">
        <v>1</v>
      </c>
      <c r="L42" s="175">
        <v>3</v>
      </c>
      <c r="M42" s="173">
        <v>14</v>
      </c>
      <c r="N42" s="174">
        <v>14</v>
      </c>
      <c r="O42" s="173">
        <v>5</v>
      </c>
      <c r="P42" s="174">
        <v>10</v>
      </c>
      <c r="Q42" s="16">
        <f t="shared" ref="Q42:Q52" si="51">E42+F42</f>
        <v>20</v>
      </c>
      <c r="R42" s="27">
        <f t="shared" ref="R42:R52" si="52">G42+H42</f>
        <v>12</v>
      </c>
      <c r="S42" s="27">
        <f t="shared" ref="S42:S52" si="53">I42+J42</f>
        <v>4</v>
      </c>
      <c r="T42" s="27">
        <f t="shared" ref="T42:T52" si="54">K42+L42</f>
        <v>4</v>
      </c>
      <c r="U42" s="25">
        <f t="shared" ref="U42:U52" si="55">M42+N42</f>
        <v>28</v>
      </c>
      <c r="V42" s="27">
        <f t="shared" ref="V42:V52" si="56">O42+P42</f>
        <v>15</v>
      </c>
      <c r="W42" s="27">
        <f t="shared" ref="W42:W52" si="57">U42-V42</f>
        <v>13</v>
      </c>
      <c r="X42" s="17">
        <f>IF(E42&gt;0,M42/E42,0)</f>
        <v>1.4</v>
      </c>
      <c r="Y42" s="17">
        <f>IF(F42&gt;0,N42/F42,0)</f>
        <v>1.4</v>
      </c>
      <c r="Z42" s="18">
        <f>IF(E42&gt;0,O42/E42,0)</f>
        <v>0.5</v>
      </c>
      <c r="AA42" s="19">
        <f>IF(F42&gt;0,P42/F42,0)</f>
        <v>1</v>
      </c>
      <c r="AB42" s="17">
        <f>IF(X42,X42/X$53,0)</f>
        <v>1.0694444444444444</v>
      </c>
      <c r="AC42" s="17">
        <f>IF(Y42,Y42/Y$53,0)</f>
        <v>1.0845070422535212</v>
      </c>
      <c r="AD42" s="17">
        <f>AVERAGE(AB42,AC42)</f>
        <v>1.0769757433489828</v>
      </c>
      <c r="AE42" s="18">
        <f>IF(Z42,Z42/Z$53,0)</f>
        <v>0.38732394366197187</v>
      </c>
      <c r="AF42" s="17">
        <f>IF(AA42,AA42/AA$53,0)</f>
        <v>0.76388888888888906</v>
      </c>
      <c r="AG42" s="19">
        <f t="shared" ref="AG42:AG52" si="58">AVERAGE(AE42,AF42)</f>
        <v>0.57560641627543041</v>
      </c>
      <c r="AH42" s="34">
        <f t="shared" ref="AH42:AH52" si="59">(R42*3)+(S42*1)</f>
        <v>40</v>
      </c>
      <c r="AI42" s="21"/>
    </row>
    <row r="43" spans="3:45" s="128" customFormat="1" hidden="1" outlineLevel="1" x14ac:dyDescent="0.2">
      <c r="C43" s="104"/>
      <c r="D43" s="132" t="s">
        <v>83</v>
      </c>
      <c r="E43" s="176">
        <v>10</v>
      </c>
      <c r="F43" s="177">
        <v>10</v>
      </c>
      <c r="G43" s="176">
        <v>1</v>
      </c>
      <c r="H43" s="177">
        <v>4</v>
      </c>
      <c r="I43" s="176">
        <v>4</v>
      </c>
      <c r="J43" s="177">
        <v>3</v>
      </c>
      <c r="K43" s="176">
        <v>5</v>
      </c>
      <c r="L43" s="178">
        <v>3</v>
      </c>
      <c r="M43" s="176">
        <v>9</v>
      </c>
      <c r="N43" s="177">
        <v>17</v>
      </c>
      <c r="O43" s="176">
        <v>14</v>
      </c>
      <c r="P43" s="177">
        <v>14</v>
      </c>
      <c r="Q43" s="136">
        <f t="shared" si="51"/>
        <v>20</v>
      </c>
      <c r="R43" s="135">
        <f t="shared" si="52"/>
        <v>5</v>
      </c>
      <c r="S43" s="135">
        <f t="shared" si="53"/>
        <v>7</v>
      </c>
      <c r="T43" s="135">
        <f t="shared" si="54"/>
        <v>8</v>
      </c>
      <c r="U43" s="133">
        <f t="shared" si="55"/>
        <v>26</v>
      </c>
      <c r="V43" s="135">
        <f t="shared" si="56"/>
        <v>28</v>
      </c>
      <c r="W43" s="135">
        <f t="shared" si="57"/>
        <v>-2</v>
      </c>
      <c r="X43" s="105">
        <f t="shared" ref="X43:Y44" si="60">IF(E43&gt;0,M43/E43,0)</f>
        <v>0.9</v>
      </c>
      <c r="Y43" s="105">
        <f t="shared" si="60"/>
        <v>1.7</v>
      </c>
      <c r="Z43" s="137">
        <f t="shared" ref="Z43:Z52" si="61">IF(E43&gt;0,O43/E43,0)</f>
        <v>1.4</v>
      </c>
      <c r="AA43" s="138">
        <f>IF(F43&gt;0,P43/F43,0)</f>
        <v>1.4</v>
      </c>
      <c r="AB43" s="105">
        <f t="shared" ref="AB43:AB52" si="62">IF(X43,X43/X$53,0)</f>
        <v>0.6875</v>
      </c>
      <c r="AC43" s="105">
        <f t="shared" ref="AC43:AC52" si="63">IF(Y43,Y43/Y$53,0)</f>
        <v>1.3169014084507042</v>
      </c>
      <c r="AD43" s="105">
        <f t="shared" ref="AD43:AD52" si="64">AVERAGE(AB43,AC43)</f>
        <v>1.002200704225352</v>
      </c>
      <c r="AE43" s="137">
        <f t="shared" ref="AE43:AE52" si="65">IF(Z43,Z43/Z$53,0)</f>
        <v>1.0845070422535212</v>
      </c>
      <c r="AF43" s="105">
        <f>IF(AA43,AA43/AA$53,0)</f>
        <v>1.0694444444444446</v>
      </c>
      <c r="AG43" s="138">
        <f t="shared" si="58"/>
        <v>1.0769757433489828</v>
      </c>
      <c r="AH43" s="139">
        <f t="shared" si="59"/>
        <v>22</v>
      </c>
      <c r="AI43" s="104"/>
    </row>
    <row r="44" spans="3:45" hidden="1" outlineLevel="1" x14ac:dyDescent="0.2">
      <c r="C44" s="21"/>
      <c r="D44" s="2" t="s">
        <v>84</v>
      </c>
      <c r="E44" s="179">
        <v>10</v>
      </c>
      <c r="F44" s="180">
        <v>10</v>
      </c>
      <c r="G44" s="179">
        <v>0</v>
      </c>
      <c r="H44" s="180">
        <v>3</v>
      </c>
      <c r="I44" s="179">
        <v>7</v>
      </c>
      <c r="J44" s="180">
        <v>4</v>
      </c>
      <c r="K44" s="179">
        <v>3</v>
      </c>
      <c r="L44" s="181">
        <v>3</v>
      </c>
      <c r="M44" s="179">
        <v>7</v>
      </c>
      <c r="N44" s="180">
        <v>10</v>
      </c>
      <c r="O44" s="179">
        <v>12</v>
      </c>
      <c r="P44" s="180">
        <v>11</v>
      </c>
      <c r="Q44" s="3">
        <f t="shared" si="51"/>
        <v>20</v>
      </c>
      <c r="R44" s="29">
        <f t="shared" si="52"/>
        <v>3</v>
      </c>
      <c r="S44" s="29">
        <f t="shared" si="53"/>
        <v>11</v>
      </c>
      <c r="T44" s="29">
        <f t="shared" si="54"/>
        <v>6</v>
      </c>
      <c r="U44" s="28">
        <f t="shared" si="55"/>
        <v>17</v>
      </c>
      <c r="V44" s="29">
        <f t="shared" si="56"/>
        <v>23</v>
      </c>
      <c r="W44" s="29">
        <f t="shared" si="57"/>
        <v>-6</v>
      </c>
      <c r="X44" s="15">
        <f t="shared" si="60"/>
        <v>0.7</v>
      </c>
      <c r="Y44" s="15">
        <f t="shared" si="60"/>
        <v>1</v>
      </c>
      <c r="Z44" s="4">
        <f t="shared" si="61"/>
        <v>1.2</v>
      </c>
      <c r="AA44" s="5">
        <f t="shared" ref="AA44:AA52" si="66">IF(F44&gt;0,P44/F44,0)</f>
        <v>1.1000000000000001</v>
      </c>
      <c r="AB44" s="15">
        <f t="shared" si="62"/>
        <v>0.53472222222222221</v>
      </c>
      <c r="AC44" s="15">
        <f t="shared" si="63"/>
        <v>0.77464788732394374</v>
      </c>
      <c r="AD44" s="15">
        <f t="shared" si="64"/>
        <v>0.65468505477308292</v>
      </c>
      <c r="AE44" s="4">
        <f t="shared" si="65"/>
        <v>0.92957746478873249</v>
      </c>
      <c r="AF44" s="15">
        <f>IF(AA44,AA44/AA$53,0)</f>
        <v>0.84027777777777801</v>
      </c>
      <c r="AG44" s="5">
        <f t="shared" si="58"/>
        <v>0.88492762128325531</v>
      </c>
      <c r="AH44" s="34">
        <f t="shared" si="59"/>
        <v>20</v>
      </c>
      <c r="AI44" s="21"/>
    </row>
    <row r="45" spans="3:45" hidden="1" outlineLevel="1" x14ac:dyDescent="0.2">
      <c r="C45" s="21"/>
      <c r="D45" s="2" t="s">
        <v>77</v>
      </c>
      <c r="E45" s="179">
        <v>10</v>
      </c>
      <c r="F45" s="180">
        <v>10</v>
      </c>
      <c r="G45" s="179">
        <v>1</v>
      </c>
      <c r="H45" s="180">
        <v>2</v>
      </c>
      <c r="I45" s="179">
        <v>5</v>
      </c>
      <c r="J45" s="180">
        <v>3</v>
      </c>
      <c r="K45" s="179">
        <v>4</v>
      </c>
      <c r="L45" s="181">
        <v>5</v>
      </c>
      <c r="M45" s="179">
        <v>9</v>
      </c>
      <c r="N45" s="180">
        <v>13</v>
      </c>
      <c r="O45" s="179">
        <v>13</v>
      </c>
      <c r="P45" s="180">
        <v>20</v>
      </c>
      <c r="Q45" s="3">
        <f t="shared" ref="Q45" si="67">E45+F45</f>
        <v>20</v>
      </c>
      <c r="R45" s="29">
        <f t="shared" ref="R45" si="68">G45+H45</f>
        <v>3</v>
      </c>
      <c r="S45" s="29">
        <f t="shared" ref="S45" si="69">I45+J45</f>
        <v>8</v>
      </c>
      <c r="T45" s="29">
        <f t="shared" ref="T45" si="70">K45+L45</f>
        <v>9</v>
      </c>
      <c r="U45" s="28">
        <f t="shared" ref="U45" si="71">M45+N45</f>
        <v>22</v>
      </c>
      <c r="V45" s="29">
        <f t="shared" ref="V45" si="72">O45+P45</f>
        <v>33</v>
      </c>
      <c r="W45" s="29">
        <f t="shared" ref="W45" si="73">U45-V45</f>
        <v>-11</v>
      </c>
      <c r="X45" s="15">
        <f>IF(E45&gt;0,M45/E45,0)</f>
        <v>0.9</v>
      </c>
      <c r="Y45" s="15">
        <f>IF(F45&gt;0,N45/F45,0)</f>
        <v>1.3</v>
      </c>
      <c r="Z45" s="4">
        <f t="shared" si="61"/>
        <v>1.3</v>
      </c>
      <c r="AA45" s="5">
        <f t="shared" si="66"/>
        <v>2</v>
      </c>
      <c r="AB45" s="15">
        <f t="shared" si="62"/>
        <v>0.6875</v>
      </c>
      <c r="AC45" s="15">
        <f t="shared" si="63"/>
        <v>1.007042253521127</v>
      </c>
      <c r="AD45" s="15">
        <f t="shared" ref="AD45" si="74">AVERAGE(AB45,AC45)</f>
        <v>0.84727112676056349</v>
      </c>
      <c r="AE45" s="4">
        <f t="shared" si="65"/>
        <v>1.007042253521127</v>
      </c>
      <c r="AF45" s="15">
        <f t="shared" ref="AF45:AF52" si="75">IF(AA45,AA45/AA$53,0)</f>
        <v>1.5277777777777781</v>
      </c>
      <c r="AG45" s="5">
        <f t="shared" ref="AG45" si="76">AVERAGE(AE45,AF45)</f>
        <v>1.2674100156494525</v>
      </c>
      <c r="AH45" s="34">
        <f t="shared" ref="AH45" si="77">(R45*3)+(S45*1)</f>
        <v>17</v>
      </c>
      <c r="AI45" s="21"/>
    </row>
    <row r="46" spans="3:45" hidden="1" outlineLevel="1" x14ac:dyDescent="0.2">
      <c r="C46" s="21"/>
      <c r="D46" s="2" t="s">
        <v>80</v>
      </c>
      <c r="E46" s="179">
        <v>10</v>
      </c>
      <c r="F46" s="180">
        <v>10</v>
      </c>
      <c r="G46" s="179">
        <v>3</v>
      </c>
      <c r="H46" s="180">
        <v>4</v>
      </c>
      <c r="I46" s="179">
        <v>5</v>
      </c>
      <c r="J46" s="180">
        <v>5</v>
      </c>
      <c r="K46" s="179">
        <v>2</v>
      </c>
      <c r="L46" s="181">
        <v>1</v>
      </c>
      <c r="M46" s="179">
        <v>15</v>
      </c>
      <c r="N46" s="180">
        <v>16</v>
      </c>
      <c r="O46" s="179">
        <v>10</v>
      </c>
      <c r="P46" s="180">
        <v>13</v>
      </c>
      <c r="Q46" s="3">
        <f t="shared" si="51"/>
        <v>20</v>
      </c>
      <c r="R46" s="29">
        <f t="shared" si="52"/>
        <v>7</v>
      </c>
      <c r="S46" s="29">
        <f t="shared" si="53"/>
        <v>10</v>
      </c>
      <c r="T46" s="29">
        <f t="shared" si="54"/>
        <v>3</v>
      </c>
      <c r="U46" s="28">
        <f t="shared" si="55"/>
        <v>31</v>
      </c>
      <c r="V46" s="29">
        <f t="shared" si="56"/>
        <v>23</v>
      </c>
      <c r="W46" s="29">
        <f t="shared" si="57"/>
        <v>8</v>
      </c>
      <c r="X46" s="15">
        <f t="shared" ref="X46:Y52" si="78">IF(E46&gt;0,M46/E46,0)</f>
        <v>1.5</v>
      </c>
      <c r="Y46" s="15">
        <f t="shared" si="78"/>
        <v>1.6</v>
      </c>
      <c r="Z46" s="4">
        <f t="shared" si="61"/>
        <v>1</v>
      </c>
      <c r="AA46" s="5">
        <f t="shared" si="66"/>
        <v>1.3</v>
      </c>
      <c r="AB46" s="15">
        <f t="shared" si="62"/>
        <v>1.1458333333333333</v>
      </c>
      <c r="AC46" s="15">
        <f t="shared" si="63"/>
        <v>1.23943661971831</v>
      </c>
      <c r="AD46" s="15">
        <f t="shared" si="64"/>
        <v>1.1926349765258215</v>
      </c>
      <c r="AE46" s="4">
        <f t="shared" si="65"/>
        <v>0.77464788732394374</v>
      </c>
      <c r="AF46" s="15">
        <f t="shared" si="75"/>
        <v>0.9930555555555558</v>
      </c>
      <c r="AG46" s="5">
        <f t="shared" si="58"/>
        <v>0.88385172143974977</v>
      </c>
      <c r="AH46" s="34">
        <f t="shared" si="59"/>
        <v>31</v>
      </c>
      <c r="AI46" s="21"/>
    </row>
    <row r="47" spans="3:45" hidden="1" outlineLevel="1" x14ac:dyDescent="0.2">
      <c r="C47" s="21"/>
      <c r="D47" s="2" t="s">
        <v>85</v>
      </c>
      <c r="E47" s="179">
        <v>10</v>
      </c>
      <c r="F47" s="180">
        <v>10</v>
      </c>
      <c r="G47" s="179">
        <v>3</v>
      </c>
      <c r="H47" s="180">
        <v>3</v>
      </c>
      <c r="I47" s="179">
        <v>5</v>
      </c>
      <c r="J47" s="180">
        <v>6</v>
      </c>
      <c r="K47" s="179">
        <v>2</v>
      </c>
      <c r="L47" s="181">
        <v>1</v>
      </c>
      <c r="M47" s="179">
        <v>16</v>
      </c>
      <c r="N47" s="180">
        <v>11</v>
      </c>
      <c r="O47" s="179">
        <v>12</v>
      </c>
      <c r="P47" s="180">
        <v>7</v>
      </c>
      <c r="Q47" s="3">
        <f t="shared" si="51"/>
        <v>20</v>
      </c>
      <c r="R47" s="29">
        <f t="shared" si="52"/>
        <v>6</v>
      </c>
      <c r="S47" s="29">
        <f t="shared" si="53"/>
        <v>11</v>
      </c>
      <c r="T47" s="29">
        <f t="shared" si="54"/>
        <v>3</v>
      </c>
      <c r="U47" s="28">
        <f t="shared" si="55"/>
        <v>27</v>
      </c>
      <c r="V47" s="29">
        <f t="shared" si="56"/>
        <v>19</v>
      </c>
      <c r="W47" s="29">
        <f t="shared" si="57"/>
        <v>8</v>
      </c>
      <c r="X47" s="15">
        <f t="shared" si="78"/>
        <v>1.6</v>
      </c>
      <c r="Y47" s="15">
        <f t="shared" si="78"/>
        <v>1.1000000000000001</v>
      </c>
      <c r="Z47" s="4">
        <f t="shared" si="61"/>
        <v>1.2</v>
      </c>
      <c r="AA47" s="5">
        <f t="shared" si="66"/>
        <v>0.7</v>
      </c>
      <c r="AB47" s="15">
        <f t="shared" si="62"/>
        <v>1.2222222222222223</v>
      </c>
      <c r="AC47" s="15">
        <f t="shared" si="63"/>
        <v>0.85211267605633823</v>
      </c>
      <c r="AD47" s="15">
        <f t="shared" si="64"/>
        <v>1.0371674491392802</v>
      </c>
      <c r="AE47" s="4">
        <f t="shared" si="65"/>
        <v>0.92957746478873249</v>
      </c>
      <c r="AF47" s="15">
        <f t="shared" si="75"/>
        <v>0.53472222222222232</v>
      </c>
      <c r="AG47" s="5">
        <f t="shared" si="58"/>
        <v>0.7321498435054774</v>
      </c>
      <c r="AH47" s="34">
        <f t="shared" si="59"/>
        <v>29</v>
      </c>
      <c r="AI47" s="21"/>
    </row>
    <row r="48" spans="3:45" hidden="1" outlineLevel="1" x14ac:dyDescent="0.2">
      <c r="C48" s="21"/>
      <c r="D48" s="2" t="s">
        <v>82</v>
      </c>
      <c r="E48" s="179">
        <v>10</v>
      </c>
      <c r="F48" s="180">
        <v>10</v>
      </c>
      <c r="G48" s="179">
        <v>3</v>
      </c>
      <c r="H48" s="180">
        <v>4</v>
      </c>
      <c r="I48" s="179">
        <v>2</v>
      </c>
      <c r="J48" s="180">
        <v>4</v>
      </c>
      <c r="K48" s="179">
        <v>5</v>
      </c>
      <c r="L48" s="181">
        <v>2</v>
      </c>
      <c r="M48" s="179">
        <v>15</v>
      </c>
      <c r="N48" s="180">
        <v>6</v>
      </c>
      <c r="O48" s="179">
        <v>16</v>
      </c>
      <c r="P48" s="180">
        <v>6</v>
      </c>
      <c r="Q48" s="3">
        <f t="shared" si="51"/>
        <v>20</v>
      </c>
      <c r="R48" s="29">
        <f t="shared" si="52"/>
        <v>7</v>
      </c>
      <c r="S48" s="29">
        <f t="shared" si="53"/>
        <v>6</v>
      </c>
      <c r="T48" s="29">
        <f t="shared" si="54"/>
        <v>7</v>
      </c>
      <c r="U48" s="28">
        <f t="shared" si="55"/>
        <v>21</v>
      </c>
      <c r="V48" s="29">
        <f t="shared" si="56"/>
        <v>22</v>
      </c>
      <c r="W48" s="29">
        <f t="shared" si="57"/>
        <v>-1</v>
      </c>
      <c r="X48" s="15">
        <f t="shared" si="78"/>
        <v>1.5</v>
      </c>
      <c r="Y48" s="15">
        <f t="shared" si="78"/>
        <v>0.6</v>
      </c>
      <c r="Z48" s="4">
        <f t="shared" si="61"/>
        <v>1.6</v>
      </c>
      <c r="AA48" s="5">
        <f t="shared" si="66"/>
        <v>0.6</v>
      </c>
      <c r="AB48" s="15">
        <f t="shared" si="62"/>
        <v>1.1458333333333333</v>
      </c>
      <c r="AC48" s="15">
        <f t="shared" si="63"/>
        <v>0.46478873239436624</v>
      </c>
      <c r="AD48" s="15">
        <f t="shared" si="64"/>
        <v>0.80531103286384975</v>
      </c>
      <c r="AE48" s="4">
        <f t="shared" si="65"/>
        <v>1.23943661971831</v>
      </c>
      <c r="AF48" s="15">
        <f t="shared" si="75"/>
        <v>0.45833333333333337</v>
      </c>
      <c r="AG48" s="5">
        <f t="shared" si="58"/>
        <v>0.84888497652582173</v>
      </c>
      <c r="AH48" s="34">
        <f t="shared" si="59"/>
        <v>27</v>
      </c>
      <c r="AI48" s="21"/>
    </row>
    <row r="49" spans="3:35" hidden="1" outlineLevel="1" x14ac:dyDescent="0.2">
      <c r="C49" s="21"/>
      <c r="D49" s="2" t="s">
        <v>78</v>
      </c>
      <c r="E49" s="179">
        <v>10</v>
      </c>
      <c r="F49" s="180">
        <v>10</v>
      </c>
      <c r="G49" s="179">
        <v>2</v>
      </c>
      <c r="H49" s="180">
        <v>1</v>
      </c>
      <c r="I49" s="179">
        <v>5</v>
      </c>
      <c r="J49" s="180">
        <v>3</v>
      </c>
      <c r="K49" s="179">
        <v>3</v>
      </c>
      <c r="L49" s="181">
        <v>6</v>
      </c>
      <c r="M49" s="179">
        <v>12</v>
      </c>
      <c r="N49" s="180">
        <v>11</v>
      </c>
      <c r="O49" s="179">
        <v>13</v>
      </c>
      <c r="P49" s="180">
        <v>23</v>
      </c>
      <c r="Q49" s="3">
        <f t="shared" si="51"/>
        <v>20</v>
      </c>
      <c r="R49" s="29">
        <f t="shared" si="52"/>
        <v>3</v>
      </c>
      <c r="S49" s="29">
        <f t="shared" si="53"/>
        <v>8</v>
      </c>
      <c r="T49" s="29">
        <f t="shared" si="54"/>
        <v>9</v>
      </c>
      <c r="U49" s="28">
        <f t="shared" si="55"/>
        <v>23</v>
      </c>
      <c r="V49" s="29">
        <f t="shared" si="56"/>
        <v>36</v>
      </c>
      <c r="W49" s="29">
        <f t="shared" si="57"/>
        <v>-13</v>
      </c>
      <c r="X49" s="15">
        <f t="shared" si="78"/>
        <v>1.2</v>
      </c>
      <c r="Y49" s="15">
        <f t="shared" si="78"/>
        <v>1.1000000000000001</v>
      </c>
      <c r="Z49" s="4">
        <f t="shared" si="61"/>
        <v>1.3</v>
      </c>
      <c r="AA49" s="5">
        <f t="shared" si="66"/>
        <v>2.2999999999999998</v>
      </c>
      <c r="AB49" s="15">
        <f t="shared" si="62"/>
        <v>0.91666666666666663</v>
      </c>
      <c r="AC49" s="15">
        <f t="shared" si="63"/>
        <v>0.85211267605633823</v>
      </c>
      <c r="AD49" s="15">
        <f t="shared" si="64"/>
        <v>0.88438967136150248</v>
      </c>
      <c r="AE49" s="4">
        <f t="shared" si="65"/>
        <v>1.007042253521127</v>
      </c>
      <c r="AF49" s="15">
        <f t="shared" si="75"/>
        <v>1.7569444444444446</v>
      </c>
      <c r="AG49" s="5">
        <f t="shared" si="58"/>
        <v>1.3819933489827858</v>
      </c>
      <c r="AH49" s="34">
        <f t="shared" si="59"/>
        <v>17</v>
      </c>
      <c r="AI49" s="21"/>
    </row>
    <row r="50" spans="3:35" hidden="1" outlineLevel="1" x14ac:dyDescent="0.2">
      <c r="C50" s="21"/>
      <c r="D50" s="2" t="s">
        <v>86</v>
      </c>
      <c r="E50" s="179">
        <v>10</v>
      </c>
      <c r="F50" s="180">
        <v>10</v>
      </c>
      <c r="G50" s="179">
        <v>5</v>
      </c>
      <c r="H50" s="180">
        <v>7</v>
      </c>
      <c r="I50" s="179">
        <v>3</v>
      </c>
      <c r="J50" s="180">
        <v>1</v>
      </c>
      <c r="K50" s="179">
        <v>2</v>
      </c>
      <c r="L50" s="181">
        <v>2</v>
      </c>
      <c r="M50" s="179">
        <v>18</v>
      </c>
      <c r="N50" s="180">
        <v>17</v>
      </c>
      <c r="O50" s="179">
        <v>11</v>
      </c>
      <c r="P50" s="180">
        <v>7</v>
      </c>
      <c r="Q50" s="3">
        <f t="shared" si="51"/>
        <v>20</v>
      </c>
      <c r="R50" s="29">
        <f t="shared" si="52"/>
        <v>12</v>
      </c>
      <c r="S50" s="29">
        <f t="shared" si="53"/>
        <v>4</v>
      </c>
      <c r="T50" s="29">
        <f t="shared" si="54"/>
        <v>4</v>
      </c>
      <c r="U50" s="28">
        <f t="shared" si="55"/>
        <v>35</v>
      </c>
      <c r="V50" s="29">
        <f t="shared" si="56"/>
        <v>18</v>
      </c>
      <c r="W50" s="29">
        <f t="shared" si="57"/>
        <v>17</v>
      </c>
      <c r="X50" s="15">
        <f t="shared" si="78"/>
        <v>1.8</v>
      </c>
      <c r="Y50" s="15">
        <f t="shared" si="78"/>
        <v>1.7</v>
      </c>
      <c r="Z50" s="4">
        <f t="shared" si="61"/>
        <v>1.1000000000000001</v>
      </c>
      <c r="AA50" s="5">
        <f t="shared" si="66"/>
        <v>0.7</v>
      </c>
      <c r="AB50" s="15">
        <f t="shared" si="62"/>
        <v>1.375</v>
      </c>
      <c r="AC50" s="15">
        <f t="shared" si="63"/>
        <v>1.3169014084507042</v>
      </c>
      <c r="AD50" s="15">
        <f t="shared" si="64"/>
        <v>1.345950704225352</v>
      </c>
      <c r="AE50" s="4">
        <f t="shared" si="65"/>
        <v>0.85211267605633823</v>
      </c>
      <c r="AF50" s="15">
        <f t="shared" si="75"/>
        <v>0.53472222222222232</v>
      </c>
      <c r="AG50" s="5">
        <f t="shared" si="58"/>
        <v>0.69341744913928027</v>
      </c>
      <c r="AH50" s="34">
        <f t="shared" si="59"/>
        <v>40</v>
      </c>
      <c r="AI50" s="21"/>
    </row>
    <row r="51" spans="3:35" hidden="1" outlineLevel="1" x14ac:dyDescent="0.2">
      <c r="C51" s="21"/>
      <c r="D51" s="2" t="s">
        <v>79</v>
      </c>
      <c r="E51" s="179">
        <v>10</v>
      </c>
      <c r="F51" s="70">
        <v>10</v>
      </c>
      <c r="G51" s="179">
        <v>5</v>
      </c>
      <c r="H51" s="70">
        <v>3</v>
      </c>
      <c r="I51" s="179">
        <v>3</v>
      </c>
      <c r="J51" s="70">
        <v>6</v>
      </c>
      <c r="K51" s="179">
        <v>2</v>
      </c>
      <c r="L51" s="181">
        <v>1</v>
      </c>
      <c r="M51" s="179">
        <v>15</v>
      </c>
      <c r="N51" s="70">
        <v>16</v>
      </c>
      <c r="O51" s="179">
        <v>10</v>
      </c>
      <c r="P51" s="70">
        <v>15</v>
      </c>
      <c r="Q51" s="3">
        <f t="shared" si="51"/>
        <v>20</v>
      </c>
      <c r="R51" s="29">
        <f t="shared" si="52"/>
        <v>8</v>
      </c>
      <c r="S51" s="29">
        <f t="shared" si="53"/>
        <v>9</v>
      </c>
      <c r="T51" s="29">
        <f t="shared" si="54"/>
        <v>3</v>
      </c>
      <c r="U51" s="28">
        <f t="shared" si="55"/>
        <v>31</v>
      </c>
      <c r="V51" s="29">
        <f t="shared" si="56"/>
        <v>25</v>
      </c>
      <c r="W51" s="29">
        <f t="shared" si="57"/>
        <v>6</v>
      </c>
      <c r="X51" s="51">
        <f t="shared" si="78"/>
        <v>1.5</v>
      </c>
      <c r="Y51" s="51">
        <f t="shared" si="78"/>
        <v>1.6</v>
      </c>
      <c r="Z51" s="4">
        <f t="shared" si="61"/>
        <v>1</v>
      </c>
      <c r="AA51" s="5">
        <f t="shared" si="66"/>
        <v>1.5</v>
      </c>
      <c r="AB51" s="51">
        <f t="shared" si="62"/>
        <v>1.1458333333333333</v>
      </c>
      <c r="AC51" s="51">
        <f t="shared" si="63"/>
        <v>1.23943661971831</v>
      </c>
      <c r="AD51" s="51">
        <f t="shared" si="64"/>
        <v>1.1926349765258215</v>
      </c>
      <c r="AE51" s="4">
        <f t="shared" si="65"/>
        <v>0.77464788732394374</v>
      </c>
      <c r="AF51" s="51">
        <f t="shared" si="75"/>
        <v>1.1458333333333335</v>
      </c>
      <c r="AG51" s="5">
        <f t="shared" si="58"/>
        <v>0.96024061032863861</v>
      </c>
      <c r="AH51" s="34">
        <f t="shared" si="59"/>
        <v>33</v>
      </c>
      <c r="AI51" s="21"/>
    </row>
    <row r="52" spans="3:35" ht="17" hidden="1" outlineLevel="1" thickBot="1" x14ac:dyDescent="0.25">
      <c r="C52" s="1"/>
      <c r="D52" s="33" t="s">
        <v>81</v>
      </c>
      <c r="E52" s="182">
        <v>10</v>
      </c>
      <c r="F52" s="183">
        <v>10</v>
      </c>
      <c r="G52" s="182">
        <v>1</v>
      </c>
      <c r="H52" s="183">
        <v>1</v>
      </c>
      <c r="I52" s="182">
        <v>2</v>
      </c>
      <c r="J52" s="183">
        <v>4</v>
      </c>
      <c r="K52" s="182">
        <v>7</v>
      </c>
      <c r="L52" s="184">
        <v>5</v>
      </c>
      <c r="M52" s="182">
        <v>14</v>
      </c>
      <c r="N52" s="183">
        <v>11</v>
      </c>
      <c r="O52" s="182">
        <v>26</v>
      </c>
      <c r="P52" s="183">
        <v>18</v>
      </c>
      <c r="Q52" s="6">
        <f t="shared" si="51"/>
        <v>20</v>
      </c>
      <c r="R52" s="32">
        <f t="shared" si="52"/>
        <v>2</v>
      </c>
      <c r="S52" s="32">
        <f t="shared" si="53"/>
        <v>6</v>
      </c>
      <c r="T52" s="32">
        <f t="shared" si="54"/>
        <v>12</v>
      </c>
      <c r="U52" s="30">
        <f t="shared" si="55"/>
        <v>25</v>
      </c>
      <c r="V52" s="32">
        <f t="shared" si="56"/>
        <v>44</v>
      </c>
      <c r="W52" s="32">
        <f t="shared" si="57"/>
        <v>-19</v>
      </c>
      <c r="X52" s="8">
        <f t="shared" si="78"/>
        <v>1.4</v>
      </c>
      <c r="Y52" s="8">
        <f t="shared" si="78"/>
        <v>1.1000000000000001</v>
      </c>
      <c r="Z52" s="7">
        <f t="shared" si="61"/>
        <v>2.6</v>
      </c>
      <c r="AA52" s="9">
        <f t="shared" si="66"/>
        <v>1.8</v>
      </c>
      <c r="AB52" s="8">
        <f t="shared" si="62"/>
        <v>1.0694444444444444</v>
      </c>
      <c r="AC52" s="8">
        <f t="shared" si="63"/>
        <v>0.85211267605633823</v>
      </c>
      <c r="AD52" s="8">
        <f t="shared" si="64"/>
        <v>0.96077856025039132</v>
      </c>
      <c r="AE52" s="7">
        <f t="shared" si="65"/>
        <v>2.0140845070422539</v>
      </c>
      <c r="AF52" s="8">
        <f t="shared" si="75"/>
        <v>1.3750000000000002</v>
      </c>
      <c r="AG52" s="9">
        <f t="shared" si="58"/>
        <v>1.694542253521127</v>
      </c>
      <c r="AH52" s="36">
        <f t="shared" si="59"/>
        <v>12</v>
      </c>
      <c r="AI52" s="1"/>
    </row>
    <row r="53" spans="3:35" hidden="1" outlineLevel="1" x14ac:dyDescent="0.2">
      <c r="C53" s="21"/>
      <c r="D53" s="22" t="s">
        <v>1</v>
      </c>
      <c r="E53" s="22"/>
      <c r="F53" s="107"/>
      <c r="G53" s="22"/>
      <c r="H53" s="107"/>
      <c r="I53" s="22"/>
      <c r="J53" s="107"/>
      <c r="K53" s="22"/>
      <c r="L53" s="24"/>
      <c r="M53" s="22">
        <f>SUM(M42:M52)</f>
        <v>144</v>
      </c>
      <c r="N53" s="107">
        <f>SUM(N42:N52)</f>
        <v>142</v>
      </c>
      <c r="O53" s="22">
        <f>SUM(O42:O52)</f>
        <v>142</v>
      </c>
      <c r="P53" s="107">
        <f>SUM(P42:P52)</f>
        <v>144</v>
      </c>
      <c r="Q53" s="11">
        <f>SUM(Q42:Q52)/2</f>
        <v>110</v>
      </c>
      <c r="R53" s="24">
        <f>SUM(R42:R52)/2</f>
        <v>34</v>
      </c>
      <c r="S53" s="24">
        <f>SUM(S42:S52)/2</f>
        <v>42</v>
      </c>
      <c r="T53" s="24">
        <f>SUM(T42:T52)/2</f>
        <v>34</v>
      </c>
      <c r="U53" s="22">
        <f>SUM(U42:U52)</f>
        <v>286</v>
      </c>
      <c r="V53" s="24">
        <f>SUM(V42:V52)</f>
        <v>286</v>
      </c>
      <c r="W53" s="24"/>
      <c r="X53" s="12">
        <f>AVERAGE(X42:X52)</f>
        <v>1.3090909090909091</v>
      </c>
      <c r="Y53" s="12">
        <f>AVERAGE(Y42:Y52)</f>
        <v>1.2909090909090908</v>
      </c>
      <c r="Z53" s="13">
        <f>AVERAGE(Z42:Z52)</f>
        <v>1.2909090909090908</v>
      </c>
      <c r="AA53" s="14">
        <f>AVERAGE(AA42:AA52)</f>
        <v>1.3090909090909089</v>
      </c>
      <c r="AB53" s="12"/>
      <c r="AC53" s="12"/>
      <c r="AD53" s="12"/>
      <c r="AE53" s="13"/>
      <c r="AF53" s="12"/>
      <c r="AG53" s="14"/>
      <c r="AH53" s="35"/>
      <c r="AI53" s="21"/>
    </row>
    <row r="54" spans="3:35" hidden="1" outlineLevel="1" x14ac:dyDescent="0.2">
      <c r="X54" s="49"/>
      <c r="Y54" s="49"/>
    </row>
    <row r="55" spans="3:35" collapsed="1" x14ac:dyDescent="0.2">
      <c r="Z55" s="49"/>
      <c r="AA55" s="49"/>
    </row>
    <row r="57" spans="3:35" x14ac:dyDescent="0.2">
      <c r="C57" s="44" t="s">
        <v>22</v>
      </c>
    </row>
    <row r="58" spans="3:35" hidden="1" outlineLevel="1" x14ac:dyDescent="0.2">
      <c r="D58" s="21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190" t="s">
        <v>12</v>
      </c>
      <c r="Y58" s="191"/>
      <c r="Z58" s="191"/>
      <c r="AA58" s="191"/>
      <c r="AB58" s="191"/>
      <c r="AC58" s="191"/>
      <c r="AD58" s="191"/>
      <c r="AE58" s="191"/>
      <c r="AF58" s="191"/>
      <c r="AG58" s="192"/>
      <c r="AH58" s="21"/>
      <c r="AI58" s="21"/>
    </row>
    <row r="59" spans="3:35" hidden="1" outlineLevel="1" x14ac:dyDescent="0.2">
      <c r="C59" s="21"/>
      <c r="D59" s="21"/>
      <c r="E59" s="186" t="s">
        <v>4</v>
      </c>
      <c r="F59" s="186"/>
      <c r="G59" s="186" t="s">
        <v>7</v>
      </c>
      <c r="H59" s="186"/>
      <c r="I59" s="186" t="s">
        <v>0</v>
      </c>
      <c r="J59" s="186"/>
      <c r="K59" s="186" t="s">
        <v>5</v>
      </c>
      <c r="L59" s="186"/>
      <c r="M59" s="186" t="s">
        <v>9</v>
      </c>
      <c r="N59" s="186"/>
      <c r="O59" s="186" t="s">
        <v>10</v>
      </c>
      <c r="P59" s="186"/>
      <c r="Q59" s="45"/>
      <c r="R59" s="45"/>
      <c r="S59" s="45"/>
      <c r="T59" s="45"/>
      <c r="U59" s="45"/>
      <c r="V59" s="45"/>
      <c r="W59" s="21"/>
      <c r="X59" s="190" t="s">
        <v>16</v>
      </c>
      <c r="Y59" s="192"/>
      <c r="Z59" s="193" t="s">
        <v>17</v>
      </c>
      <c r="AA59" s="194"/>
      <c r="AB59" s="195" t="s">
        <v>15</v>
      </c>
      <c r="AC59" s="195"/>
      <c r="AD59" s="195"/>
      <c r="AE59" s="193" t="s">
        <v>18</v>
      </c>
      <c r="AF59" s="195"/>
      <c r="AG59" s="194"/>
      <c r="AH59" s="21"/>
      <c r="AI59" s="21"/>
    </row>
    <row r="60" spans="3:35" hidden="1" outlineLevel="1" x14ac:dyDescent="0.2">
      <c r="C60" s="21"/>
      <c r="D60" s="40" t="s">
        <v>6</v>
      </c>
      <c r="E60" s="40" t="s">
        <v>13</v>
      </c>
      <c r="F60" s="41" t="s">
        <v>14</v>
      </c>
      <c r="G60" s="40" t="s">
        <v>13</v>
      </c>
      <c r="H60" s="41" t="s">
        <v>14</v>
      </c>
      <c r="I60" s="40" t="s">
        <v>13</v>
      </c>
      <c r="J60" s="41" t="s">
        <v>14</v>
      </c>
      <c r="K60" s="40" t="s">
        <v>13</v>
      </c>
      <c r="L60" s="42" t="s">
        <v>14</v>
      </c>
      <c r="M60" s="40" t="s">
        <v>13</v>
      </c>
      <c r="N60" s="41" t="s">
        <v>14</v>
      </c>
      <c r="O60" s="40" t="s">
        <v>13</v>
      </c>
      <c r="P60" s="42" t="s">
        <v>14</v>
      </c>
      <c r="Q60" s="43" t="s">
        <v>24</v>
      </c>
      <c r="R60" s="42" t="s">
        <v>25</v>
      </c>
      <c r="S60" s="42" t="s">
        <v>20</v>
      </c>
      <c r="T60" s="42" t="s">
        <v>26</v>
      </c>
      <c r="U60" s="40" t="s">
        <v>27</v>
      </c>
      <c r="V60" s="42" t="s">
        <v>28</v>
      </c>
      <c r="W60" s="43" t="s">
        <v>20</v>
      </c>
      <c r="X60" s="41" t="s">
        <v>13</v>
      </c>
      <c r="Y60" s="41" t="s">
        <v>14</v>
      </c>
      <c r="Z60" s="40" t="s">
        <v>13</v>
      </c>
      <c r="AA60" s="42" t="s">
        <v>14</v>
      </c>
      <c r="AB60" s="41" t="s">
        <v>13</v>
      </c>
      <c r="AC60" s="41" t="s">
        <v>14</v>
      </c>
      <c r="AD60" s="41" t="s">
        <v>11</v>
      </c>
      <c r="AE60" s="40" t="s">
        <v>13</v>
      </c>
      <c r="AF60" s="41" t="s">
        <v>14</v>
      </c>
      <c r="AG60" s="42" t="s">
        <v>11</v>
      </c>
      <c r="AH60" s="43" t="s">
        <v>8</v>
      </c>
      <c r="AI60" s="21"/>
    </row>
    <row r="61" spans="3:35" hidden="1" outlineLevel="1" x14ac:dyDescent="0.2">
      <c r="C61" s="21"/>
      <c r="D61" s="10" t="s">
        <v>76</v>
      </c>
      <c r="E61" s="10">
        <v>9</v>
      </c>
      <c r="F61" s="46">
        <v>9</v>
      </c>
      <c r="G61" s="25">
        <v>6</v>
      </c>
      <c r="H61" s="26">
        <v>4</v>
      </c>
      <c r="I61" s="25">
        <v>1</v>
      </c>
      <c r="J61" s="26">
        <v>3</v>
      </c>
      <c r="K61" s="25">
        <v>2</v>
      </c>
      <c r="L61" s="27">
        <v>2</v>
      </c>
      <c r="M61" s="25">
        <v>18</v>
      </c>
      <c r="N61" s="26">
        <v>15</v>
      </c>
      <c r="O61" s="25">
        <v>8</v>
      </c>
      <c r="P61" s="26">
        <v>8</v>
      </c>
      <c r="Q61" s="16">
        <f t="shared" ref="Q61:Q70" si="79">E61+F61</f>
        <v>18</v>
      </c>
      <c r="R61" s="27">
        <f t="shared" ref="R61:R70" si="80">G61+H61</f>
        <v>10</v>
      </c>
      <c r="S61" s="27">
        <f t="shared" ref="S61:S70" si="81">I61+J61</f>
        <v>4</v>
      </c>
      <c r="T61" s="27">
        <f t="shared" ref="T61:T70" si="82">K61+L61</f>
        <v>4</v>
      </c>
      <c r="U61" s="25">
        <f t="shared" ref="U61:U70" si="83">M61+N61</f>
        <v>33</v>
      </c>
      <c r="V61" s="27">
        <f t="shared" ref="V61:V70" si="84">O61+P61</f>
        <v>16</v>
      </c>
      <c r="W61" s="27">
        <f t="shared" ref="W61:W70" si="85">U61-V61</f>
        <v>17</v>
      </c>
      <c r="X61" s="17">
        <f t="shared" ref="X61:Y70" si="86">M61/E61</f>
        <v>2</v>
      </c>
      <c r="Y61" s="17">
        <f t="shared" si="86"/>
        <v>1.6666666666666667</v>
      </c>
      <c r="Z61" s="18">
        <f t="shared" ref="Z61:AA70" si="87">O61/E61</f>
        <v>0.88888888888888884</v>
      </c>
      <c r="AA61" s="19">
        <f t="shared" si="87"/>
        <v>0.88888888888888884</v>
      </c>
      <c r="AB61" s="17">
        <f>X61/X$71</f>
        <v>1.1920529801324502</v>
      </c>
      <c r="AC61" s="17">
        <f>Y61/Y$71</f>
        <v>1.2195121951219512</v>
      </c>
      <c r="AD61" s="17">
        <f t="shared" ref="AD61:AD70" si="88">AVERAGE(AB61,AC61)</f>
        <v>1.2057825876272008</v>
      </c>
      <c r="AE61" s="18">
        <f>Z61/Z$71</f>
        <v>0.65040650406504064</v>
      </c>
      <c r="AF61" s="17">
        <f>AA61/AA$71</f>
        <v>0.52980132450331119</v>
      </c>
      <c r="AG61" s="19">
        <f t="shared" ref="AG61:AG70" si="89">AVERAGE(AE61,AF61)</f>
        <v>0.59010391428417597</v>
      </c>
      <c r="AH61" s="34">
        <f t="shared" ref="AH61:AH70" si="90">(R61*3)+(S61*1)</f>
        <v>34</v>
      </c>
      <c r="AI61" s="21"/>
    </row>
    <row r="62" spans="3:35" s="128" customFormat="1" hidden="1" outlineLevel="1" x14ac:dyDescent="0.2">
      <c r="C62" s="104"/>
      <c r="D62" s="132" t="s">
        <v>83</v>
      </c>
      <c r="E62" s="132">
        <v>9</v>
      </c>
      <c r="F62" s="104">
        <v>9</v>
      </c>
      <c r="G62" s="133">
        <v>6</v>
      </c>
      <c r="H62" s="134">
        <v>2</v>
      </c>
      <c r="I62" s="133">
        <v>2</v>
      </c>
      <c r="J62" s="134">
        <v>4</v>
      </c>
      <c r="K62" s="133">
        <v>1</v>
      </c>
      <c r="L62" s="135">
        <v>3</v>
      </c>
      <c r="M62" s="133">
        <v>16</v>
      </c>
      <c r="N62" s="134">
        <v>6</v>
      </c>
      <c r="O62" s="133">
        <v>6</v>
      </c>
      <c r="P62" s="134">
        <v>7</v>
      </c>
      <c r="Q62" s="136">
        <f t="shared" si="79"/>
        <v>18</v>
      </c>
      <c r="R62" s="135">
        <f t="shared" si="80"/>
        <v>8</v>
      </c>
      <c r="S62" s="135">
        <f t="shared" si="81"/>
        <v>6</v>
      </c>
      <c r="T62" s="135">
        <f t="shared" si="82"/>
        <v>4</v>
      </c>
      <c r="U62" s="133">
        <f t="shared" si="83"/>
        <v>22</v>
      </c>
      <c r="V62" s="135">
        <f t="shared" si="84"/>
        <v>13</v>
      </c>
      <c r="W62" s="135">
        <f t="shared" si="85"/>
        <v>9</v>
      </c>
      <c r="X62" s="105">
        <f t="shared" si="86"/>
        <v>1.7777777777777777</v>
      </c>
      <c r="Y62" s="105">
        <f t="shared" si="86"/>
        <v>0.66666666666666663</v>
      </c>
      <c r="Z62" s="137">
        <f t="shared" si="87"/>
        <v>0.66666666666666663</v>
      </c>
      <c r="AA62" s="138">
        <f t="shared" si="87"/>
        <v>0.77777777777777779</v>
      </c>
      <c r="AB62" s="105">
        <f t="shared" ref="AB62:AB70" si="91">X62/X$71</f>
        <v>1.0596026490066224</v>
      </c>
      <c r="AC62" s="105">
        <f t="shared" ref="AC62:AC70" si="92">Y62/Y$71</f>
        <v>0.48780487804878048</v>
      </c>
      <c r="AD62" s="105">
        <f t="shared" si="88"/>
        <v>0.77370376352770143</v>
      </c>
      <c r="AE62" s="137">
        <f t="shared" ref="AE62:AE70" si="93">Z62/Z$71</f>
        <v>0.48780487804878048</v>
      </c>
      <c r="AF62" s="105">
        <f t="shared" ref="AF62:AF70" si="94">AA62/AA$71</f>
        <v>0.46357615894039733</v>
      </c>
      <c r="AG62" s="138">
        <f t="shared" si="89"/>
        <v>0.47569051849458888</v>
      </c>
      <c r="AH62" s="139">
        <f t="shared" si="90"/>
        <v>30</v>
      </c>
      <c r="AI62" s="104"/>
    </row>
    <row r="63" spans="3:35" hidden="1" outlineLevel="1" x14ac:dyDescent="0.2">
      <c r="C63" s="21"/>
      <c r="D63" s="2" t="s">
        <v>84</v>
      </c>
      <c r="E63" s="2">
        <v>9</v>
      </c>
      <c r="F63" s="21">
        <v>9</v>
      </c>
      <c r="G63" s="28">
        <v>4</v>
      </c>
      <c r="H63" s="47">
        <v>4</v>
      </c>
      <c r="I63" s="28">
        <v>3</v>
      </c>
      <c r="J63" s="47">
        <v>2</v>
      </c>
      <c r="K63" s="28">
        <v>2</v>
      </c>
      <c r="L63" s="29">
        <v>3</v>
      </c>
      <c r="M63" s="28">
        <v>16</v>
      </c>
      <c r="N63" s="47">
        <v>16</v>
      </c>
      <c r="O63" s="28">
        <v>10</v>
      </c>
      <c r="P63" s="47">
        <v>16</v>
      </c>
      <c r="Q63" s="3">
        <f t="shared" si="79"/>
        <v>18</v>
      </c>
      <c r="R63" s="29">
        <f t="shared" si="80"/>
        <v>8</v>
      </c>
      <c r="S63" s="29">
        <f t="shared" si="81"/>
        <v>5</v>
      </c>
      <c r="T63" s="29">
        <f t="shared" si="82"/>
        <v>5</v>
      </c>
      <c r="U63" s="28">
        <f t="shared" si="83"/>
        <v>32</v>
      </c>
      <c r="V63" s="29">
        <f t="shared" si="84"/>
        <v>26</v>
      </c>
      <c r="W63" s="29">
        <f t="shared" si="85"/>
        <v>6</v>
      </c>
      <c r="X63" s="15">
        <f t="shared" si="86"/>
        <v>1.7777777777777777</v>
      </c>
      <c r="Y63" s="15">
        <f t="shared" si="86"/>
        <v>1.7777777777777777</v>
      </c>
      <c r="Z63" s="4">
        <f t="shared" si="87"/>
        <v>1.1111111111111112</v>
      </c>
      <c r="AA63" s="5">
        <f t="shared" si="87"/>
        <v>1.7777777777777777</v>
      </c>
      <c r="AB63" s="15">
        <f t="shared" si="91"/>
        <v>1.0596026490066224</v>
      </c>
      <c r="AC63" s="15">
        <f t="shared" si="92"/>
        <v>1.3008130081300813</v>
      </c>
      <c r="AD63" s="15">
        <f t="shared" si="88"/>
        <v>1.1802078285683519</v>
      </c>
      <c r="AE63" s="4">
        <f t="shared" si="93"/>
        <v>0.81300813008130079</v>
      </c>
      <c r="AF63" s="15">
        <f t="shared" si="94"/>
        <v>1.0596026490066224</v>
      </c>
      <c r="AG63" s="5">
        <f t="shared" si="89"/>
        <v>0.93630538954396159</v>
      </c>
      <c r="AH63" s="34">
        <f t="shared" si="90"/>
        <v>29</v>
      </c>
      <c r="AI63" s="21"/>
    </row>
    <row r="64" spans="3:35" hidden="1" outlineLevel="1" x14ac:dyDescent="0.2">
      <c r="C64" s="21"/>
      <c r="D64" s="2" t="s">
        <v>80</v>
      </c>
      <c r="E64" s="2">
        <v>9</v>
      </c>
      <c r="F64" s="21">
        <v>9</v>
      </c>
      <c r="G64" s="28">
        <v>7</v>
      </c>
      <c r="H64" s="47">
        <v>5</v>
      </c>
      <c r="I64" s="28">
        <v>1</v>
      </c>
      <c r="J64" s="47">
        <v>2</v>
      </c>
      <c r="K64" s="28">
        <v>1</v>
      </c>
      <c r="L64" s="29">
        <v>2</v>
      </c>
      <c r="M64" s="28">
        <v>23</v>
      </c>
      <c r="N64" s="47">
        <v>23</v>
      </c>
      <c r="O64" s="28">
        <v>8</v>
      </c>
      <c r="P64" s="47">
        <v>15</v>
      </c>
      <c r="Q64" s="3">
        <f t="shared" si="79"/>
        <v>18</v>
      </c>
      <c r="R64" s="29">
        <f t="shared" si="80"/>
        <v>12</v>
      </c>
      <c r="S64" s="29">
        <f t="shared" si="81"/>
        <v>3</v>
      </c>
      <c r="T64" s="29">
        <f t="shared" si="82"/>
        <v>3</v>
      </c>
      <c r="U64" s="28">
        <f t="shared" si="83"/>
        <v>46</v>
      </c>
      <c r="V64" s="29">
        <f t="shared" si="84"/>
        <v>23</v>
      </c>
      <c r="W64" s="29">
        <f t="shared" si="85"/>
        <v>23</v>
      </c>
      <c r="X64" s="15">
        <f t="shared" si="86"/>
        <v>2.5555555555555554</v>
      </c>
      <c r="Y64" s="15">
        <f t="shared" si="86"/>
        <v>2.5555555555555554</v>
      </c>
      <c r="Z64" s="4">
        <f t="shared" si="87"/>
        <v>0.88888888888888884</v>
      </c>
      <c r="AA64" s="5">
        <f t="shared" si="87"/>
        <v>1.6666666666666667</v>
      </c>
      <c r="AB64" s="15">
        <f t="shared" si="91"/>
        <v>1.5231788079470197</v>
      </c>
      <c r="AC64" s="15">
        <f t="shared" si="92"/>
        <v>1.8699186991869916</v>
      </c>
      <c r="AD64" s="15">
        <f t="shared" si="88"/>
        <v>1.6965487535670056</v>
      </c>
      <c r="AE64" s="4">
        <f t="shared" si="93"/>
        <v>0.65040650406504064</v>
      </c>
      <c r="AF64" s="15">
        <f t="shared" si="94"/>
        <v>0.99337748344370869</v>
      </c>
      <c r="AG64" s="5">
        <f t="shared" si="89"/>
        <v>0.82189199375437472</v>
      </c>
      <c r="AH64" s="34">
        <f t="shared" si="90"/>
        <v>39</v>
      </c>
      <c r="AI64" s="21"/>
    </row>
    <row r="65" spans="3:35" hidden="1" outlineLevel="1" x14ac:dyDescent="0.2">
      <c r="C65" s="21"/>
      <c r="D65" s="2" t="s">
        <v>85</v>
      </c>
      <c r="E65" s="2">
        <v>9</v>
      </c>
      <c r="F65" s="21">
        <v>9</v>
      </c>
      <c r="G65" s="28">
        <v>1</v>
      </c>
      <c r="H65" s="47">
        <v>1</v>
      </c>
      <c r="I65" s="28">
        <v>4</v>
      </c>
      <c r="J65" s="47">
        <v>0</v>
      </c>
      <c r="K65" s="28">
        <v>4</v>
      </c>
      <c r="L65" s="29">
        <v>8</v>
      </c>
      <c r="M65" s="28">
        <v>9</v>
      </c>
      <c r="N65" s="47">
        <v>12</v>
      </c>
      <c r="O65" s="28">
        <v>13</v>
      </c>
      <c r="P65" s="47">
        <v>26</v>
      </c>
      <c r="Q65" s="3">
        <f t="shared" si="79"/>
        <v>18</v>
      </c>
      <c r="R65" s="29">
        <f t="shared" si="80"/>
        <v>2</v>
      </c>
      <c r="S65" s="29">
        <f t="shared" si="81"/>
        <v>4</v>
      </c>
      <c r="T65" s="29">
        <f t="shared" si="82"/>
        <v>12</v>
      </c>
      <c r="U65" s="28">
        <f t="shared" si="83"/>
        <v>21</v>
      </c>
      <c r="V65" s="29">
        <f t="shared" si="84"/>
        <v>39</v>
      </c>
      <c r="W65" s="29">
        <f t="shared" si="85"/>
        <v>-18</v>
      </c>
      <c r="X65" s="15">
        <f t="shared" si="86"/>
        <v>1</v>
      </c>
      <c r="Y65" s="15">
        <f t="shared" si="86"/>
        <v>1.3333333333333333</v>
      </c>
      <c r="Z65" s="4">
        <f t="shared" si="87"/>
        <v>1.4444444444444444</v>
      </c>
      <c r="AA65" s="5">
        <f t="shared" si="87"/>
        <v>2.8888888888888888</v>
      </c>
      <c r="AB65" s="15">
        <f t="shared" si="91"/>
        <v>0.5960264900662251</v>
      </c>
      <c r="AC65" s="15">
        <f t="shared" si="92"/>
        <v>0.97560975609756095</v>
      </c>
      <c r="AD65" s="15">
        <f t="shared" si="88"/>
        <v>0.78581812308189303</v>
      </c>
      <c r="AE65" s="4">
        <f t="shared" si="93"/>
        <v>1.056910569105691</v>
      </c>
      <c r="AF65" s="15">
        <f t="shared" si="94"/>
        <v>1.7218543046357615</v>
      </c>
      <c r="AG65" s="5">
        <f t="shared" si="89"/>
        <v>1.3893824368707262</v>
      </c>
      <c r="AH65" s="34">
        <f t="shared" si="90"/>
        <v>10</v>
      </c>
      <c r="AI65" s="21"/>
    </row>
    <row r="66" spans="3:35" hidden="1" outlineLevel="1" x14ac:dyDescent="0.2">
      <c r="C66" s="21"/>
      <c r="D66" s="2" t="s">
        <v>82</v>
      </c>
      <c r="E66" s="2">
        <v>9</v>
      </c>
      <c r="F66" s="21">
        <v>9</v>
      </c>
      <c r="G66" s="28">
        <v>3</v>
      </c>
      <c r="H66" s="47">
        <v>1</v>
      </c>
      <c r="I66" s="28">
        <v>3</v>
      </c>
      <c r="J66" s="47">
        <v>3</v>
      </c>
      <c r="K66" s="28">
        <v>3</v>
      </c>
      <c r="L66" s="29">
        <v>5</v>
      </c>
      <c r="M66" s="28">
        <v>11</v>
      </c>
      <c r="N66" s="47">
        <v>11</v>
      </c>
      <c r="O66" s="28">
        <v>16</v>
      </c>
      <c r="P66" s="47">
        <v>19</v>
      </c>
      <c r="Q66" s="3">
        <f t="shared" si="79"/>
        <v>18</v>
      </c>
      <c r="R66" s="29">
        <f t="shared" si="80"/>
        <v>4</v>
      </c>
      <c r="S66" s="29">
        <f t="shared" si="81"/>
        <v>6</v>
      </c>
      <c r="T66" s="29">
        <f t="shared" si="82"/>
        <v>8</v>
      </c>
      <c r="U66" s="28">
        <f t="shared" si="83"/>
        <v>22</v>
      </c>
      <c r="V66" s="29">
        <f t="shared" si="84"/>
        <v>35</v>
      </c>
      <c r="W66" s="29">
        <f t="shared" si="85"/>
        <v>-13</v>
      </c>
      <c r="X66" s="15">
        <f t="shared" si="86"/>
        <v>1.2222222222222223</v>
      </c>
      <c r="Y66" s="15">
        <f t="shared" si="86"/>
        <v>1.2222222222222223</v>
      </c>
      <c r="Z66" s="4">
        <f t="shared" si="87"/>
        <v>1.7777777777777777</v>
      </c>
      <c r="AA66" s="5">
        <f t="shared" si="87"/>
        <v>2.1111111111111112</v>
      </c>
      <c r="AB66" s="15">
        <f t="shared" si="91"/>
        <v>0.72847682119205304</v>
      </c>
      <c r="AC66" s="15">
        <f t="shared" si="92"/>
        <v>0.89430894308943099</v>
      </c>
      <c r="AD66" s="15">
        <f t="shared" si="88"/>
        <v>0.81139288214074201</v>
      </c>
      <c r="AE66" s="4">
        <f t="shared" si="93"/>
        <v>1.3008130081300813</v>
      </c>
      <c r="AF66" s="15">
        <f t="shared" si="94"/>
        <v>1.2582781456953642</v>
      </c>
      <c r="AG66" s="5">
        <f t="shared" si="89"/>
        <v>1.2795455769127226</v>
      </c>
      <c r="AH66" s="34">
        <f t="shared" si="90"/>
        <v>18</v>
      </c>
      <c r="AI66" s="21"/>
    </row>
    <row r="67" spans="3:35" hidden="1" outlineLevel="1" x14ac:dyDescent="0.2">
      <c r="C67" s="21"/>
      <c r="D67" s="2" t="s">
        <v>78</v>
      </c>
      <c r="E67" s="2">
        <v>9</v>
      </c>
      <c r="F67" s="21">
        <v>9</v>
      </c>
      <c r="G67" s="28">
        <v>3</v>
      </c>
      <c r="H67" s="47">
        <v>1</v>
      </c>
      <c r="I67" s="28">
        <v>4</v>
      </c>
      <c r="J67" s="47">
        <v>3</v>
      </c>
      <c r="K67" s="28">
        <v>2</v>
      </c>
      <c r="L67" s="29">
        <v>5</v>
      </c>
      <c r="M67" s="28">
        <v>17</v>
      </c>
      <c r="N67" s="47">
        <v>12</v>
      </c>
      <c r="O67" s="28">
        <v>15</v>
      </c>
      <c r="P67" s="47">
        <v>17</v>
      </c>
      <c r="Q67" s="3">
        <f t="shared" si="79"/>
        <v>18</v>
      </c>
      <c r="R67" s="29">
        <f t="shared" si="80"/>
        <v>4</v>
      </c>
      <c r="S67" s="29">
        <f t="shared" si="81"/>
        <v>7</v>
      </c>
      <c r="T67" s="29">
        <f t="shared" si="82"/>
        <v>7</v>
      </c>
      <c r="U67" s="28">
        <f t="shared" si="83"/>
        <v>29</v>
      </c>
      <c r="V67" s="29">
        <f t="shared" si="84"/>
        <v>32</v>
      </c>
      <c r="W67" s="29">
        <f t="shared" si="85"/>
        <v>-3</v>
      </c>
      <c r="X67" s="15">
        <f t="shared" si="86"/>
        <v>1.8888888888888888</v>
      </c>
      <c r="Y67" s="15">
        <f t="shared" si="86"/>
        <v>1.3333333333333333</v>
      </c>
      <c r="Z67" s="4">
        <f t="shared" si="87"/>
        <v>1.6666666666666667</v>
      </c>
      <c r="AA67" s="5">
        <f t="shared" si="87"/>
        <v>1.8888888888888888</v>
      </c>
      <c r="AB67" s="15">
        <f t="shared" si="91"/>
        <v>1.1258278145695364</v>
      </c>
      <c r="AC67" s="15">
        <f t="shared" si="92"/>
        <v>0.97560975609756095</v>
      </c>
      <c r="AD67" s="15">
        <f t="shared" si="88"/>
        <v>1.0507187853335487</v>
      </c>
      <c r="AE67" s="4">
        <f t="shared" si="93"/>
        <v>1.2195121951219512</v>
      </c>
      <c r="AF67" s="15">
        <f t="shared" si="94"/>
        <v>1.1258278145695364</v>
      </c>
      <c r="AG67" s="5">
        <f t="shared" si="89"/>
        <v>1.1726700048457439</v>
      </c>
      <c r="AH67" s="34">
        <f t="shared" si="90"/>
        <v>19</v>
      </c>
      <c r="AI67" s="21"/>
    </row>
    <row r="68" spans="3:35" hidden="1" outlineLevel="1" x14ac:dyDescent="0.2">
      <c r="C68" s="21"/>
      <c r="D68" s="2" t="s">
        <v>86</v>
      </c>
      <c r="E68" s="2">
        <v>9</v>
      </c>
      <c r="F68" s="21">
        <v>9</v>
      </c>
      <c r="G68" s="28">
        <v>4</v>
      </c>
      <c r="H68" s="47">
        <v>3</v>
      </c>
      <c r="I68" s="28">
        <v>1</v>
      </c>
      <c r="J68" s="47">
        <v>4</v>
      </c>
      <c r="K68" s="28">
        <v>4</v>
      </c>
      <c r="L68" s="29">
        <v>2</v>
      </c>
      <c r="M68" s="28">
        <v>12</v>
      </c>
      <c r="N68" s="47">
        <v>13</v>
      </c>
      <c r="O68" s="28">
        <v>14</v>
      </c>
      <c r="P68" s="47">
        <v>15</v>
      </c>
      <c r="Q68" s="3">
        <f t="shared" si="79"/>
        <v>18</v>
      </c>
      <c r="R68" s="29">
        <f t="shared" si="80"/>
        <v>7</v>
      </c>
      <c r="S68" s="29">
        <f t="shared" si="81"/>
        <v>5</v>
      </c>
      <c r="T68" s="29">
        <f t="shared" si="82"/>
        <v>6</v>
      </c>
      <c r="U68" s="28">
        <f t="shared" si="83"/>
        <v>25</v>
      </c>
      <c r="V68" s="29">
        <f t="shared" si="84"/>
        <v>29</v>
      </c>
      <c r="W68" s="29">
        <f t="shared" si="85"/>
        <v>-4</v>
      </c>
      <c r="X68" s="15">
        <f t="shared" si="86"/>
        <v>1.3333333333333333</v>
      </c>
      <c r="Y68" s="15">
        <f t="shared" si="86"/>
        <v>1.4444444444444444</v>
      </c>
      <c r="Z68" s="4">
        <f t="shared" si="87"/>
        <v>1.5555555555555556</v>
      </c>
      <c r="AA68" s="5">
        <f t="shared" si="87"/>
        <v>1.6666666666666667</v>
      </c>
      <c r="AB68" s="15">
        <f t="shared" si="91"/>
        <v>0.79470198675496684</v>
      </c>
      <c r="AC68" s="15">
        <f t="shared" si="92"/>
        <v>1.056910569105691</v>
      </c>
      <c r="AD68" s="15">
        <f t="shared" si="88"/>
        <v>0.92580627793032888</v>
      </c>
      <c r="AE68" s="4">
        <f t="shared" si="93"/>
        <v>1.1382113821138211</v>
      </c>
      <c r="AF68" s="15">
        <f t="shared" si="94"/>
        <v>0.99337748344370869</v>
      </c>
      <c r="AG68" s="5">
        <f t="shared" si="89"/>
        <v>1.065794432778765</v>
      </c>
      <c r="AH68" s="34">
        <f t="shared" si="90"/>
        <v>26</v>
      </c>
      <c r="AI68" s="21"/>
    </row>
    <row r="69" spans="3:35" hidden="1" outlineLevel="1" x14ac:dyDescent="0.2">
      <c r="C69" s="21"/>
      <c r="D69" s="2" t="s">
        <v>79</v>
      </c>
      <c r="E69" s="2">
        <v>9</v>
      </c>
      <c r="F69" s="50">
        <v>9</v>
      </c>
      <c r="G69" s="28">
        <v>1</v>
      </c>
      <c r="H69" s="74">
        <v>1</v>
      </c>
      <c r="I69" s="28">
        <v>5</v>
      </c>
      <c r="J69" s="74">
        <v>3</v>
      </c>
      <c r="K69" s="28">
        <v>3</v>
      </c>
      <c r="L69" s="29">
        <v>5</v>
      </c>
      <c r="M69" s="28">
        <v>12</v>
      </c>
      <c r="N69" s="74">
        <v>4</v>
      </c>
      <c r="O69" s="28">
        <v>20</v>
      </c>
      <c r="P69" s="74">
        <v>10</v>
      </c>
      <c r="Q69" s="3">
        <f t="shared" si="79"/>
        <v>18</v>
      </c>
      <c r="R69" s="29">
        <f t="shared" si="80"/>
        <v>2</v>
      </c>
      <c r="S69" s="29">
        <f t="shared" si="81"/>
        <v>8</v>
      </c>
      <c r="T69" s="29">
        <f t="shared" si="82"/>
        <v>8</v>
      </c>
      <c r="U69" s="28">
        <f t="shared" si="83"/>
        <v>16</v>
      </c>
      <c r="V69" s="29">
        <f t="shared" si="84"/>
        <v>30</v>
      </c>
      <c r="W69" s="29">
        <f t="shared" si="85"/>
        <v>-14</v>
      </c>
      <c r="X69" s="51">
        <f t="shared" si="86"/>
        <v>1.3333333333333333</v>
      </c>
      <c r="Y69" s="51">
        <f t="shared" si="86"/>
        <v>0.44444444444444442</v>
      </c>
      <c r="Z69" s="4">
        <f t="shared" si="87"/>
        <v>2.2222222222222223</v>
      </c>
      <c r="AA69" s="5">
        <f t="shared" si="87"/>
        <v>1.1111111111111112</v>
      </c>
      <c r="AB69" s="51">
        <f t="shared" si="91"/>
        <v>0.79470198675496684</v>
      </c>
      <c r="AC69" s="51">
        <f t="shared" si="92"/>
        <v>0.32520325203252032</v>
      </c>
      <c r="AD69" s="51">
        <f t="shared" si="88"/>
        <v>0.55995261939374363</v>
      </c>
      <c r="AE69" s="4">
        <f t="shared" si="93"/>
        <v>1.6260162601626016</v>
      </c>
      <c r="AF69" s="51">
        <f t="shared" si="94"/>
        <v>0.66225165562913912</v>
      </c>
      <c r="AG69" s="5">
        <f t="shared" si="89"/>
        <v>1.1441339578958702</v>
      </c>
      <c r="AH69" s="34">
        <f t="shared" si="90"/>
        <v>14</v>
      </c>
      <c r="AI69" s="21"/>
    </row>
    <row r="70" spans="3:35" ht="17" hidden="1" outlineLevel="1" thickBot="1" x14ac:dyDescent="0.25">
      <c r="C70" s="1"/>
      <c r="D70" s="33" t="s">
        <v>81</v>
      </c>
      <c r="E70" s="33">
        <v>9</v>
      </c>
      <c r="F70" s="1">
        <v>9</v>
      </c>
      <c r="G70" s="30">
        <v>5</v>
      </c>
      <c r="H70" s="31">
        <v>2</v>
      </c>
      <c r="I70" s="30">
        <v>2</v>
      </c>
      <c r="J70" s="31">
        <v>2</v>
      </c>
      <c r="K70" s="30">
        <v>2</v>
      </c>
      <c r="L70" s="32">
        <v>5</v>
      </c>
      <c r="M70" s="30">
        <v>17</v>
      </c>
      <c r="N70" s="31">
        <v>11</v>
      </c>
      <c r="O70" s="30">
        <v>13</v>
      </c>
      <c r="P70" s="31">
        <v>18</v>
      </c>
      <c r="Q70" s="6">
        <f t="shared" si="79"/>
        <v>18</v>
      </c>
      <c r="R70" s="32">
        <f t="shared" si="80"/>
        <v>7</v>
      </c>
      <c r="S70" s="32">
        <f t="shared" si="81"/>
        <v>4</v>
      </c>
      <c r="T70" s="32">
        <f t="shared" si="82"/>
        <v>7</v>
      </c>
      <c r="U70" s="30">
        <f t="shared" si="83"/>
        <v>28</v>
      </c>
      <c r="V70" s="32">
        <f t="shared" si="84"/>
        <v>31</v>
      </c>
      <c r="W70" s="32">
        <f t="shared" si="85"/>
        <v>-3</v>
      </c>
      <c r="X70" s="8">
        <f t="shared" si="86"/>
        <v>1.8888888888888888</v>
      </c>
      <c r="Y70" s="8">
        <f t="shared" si="86"/>
        <v>1.2222222222222223</v>
      </c>
      <c r="Z70" s="7">
        <f t="shared" si="87"/>
        <v>1.4444444444444444</v>
      </c>
      <c r="AA70" s="9">
        <f t="shared" si="87"/>
        <v>2</v>
      </c>
      <c r="AB70" s="8">
        <f t="shared" si="91"/>
        <v>1.1258278145695364</v>
      </c>
      <c r="AC70" s="8">
        <f t="shared" si="92"/>
        <v>0.89430894308943099</v>
      </c>
      <c r="AD70" s="8">
        <f t="shared" si="88"/>
        <v>1.0100683788294837</v>
      </c>
      <c r="AE70" s="7">
        <f t="shared" si="93"/>
        <v>1.056910569105691</v>
      </c>
      <c r="AF70" s="8">
        <f t="shared" si="94"/>
        <v>1.1920529801324502</v>
      </c>
      <c r="AG70" s="9">
        <f t="shared" si="89"/>
        <v>1.1244817746190705</v>
      </c>
      <c r="AH70" s="36">
        <f t="shared" si="90"/>
        <v>25</v>
      </c>
      <c r="AI70" s="1"/>
    </row>
    <row r="71" spans="3:35" hidden="1" outlineLevel="1" x14ac:dyDescent="0.2">
      <c r="C71" s="21"/>
      <c r="D71" s="22" t="s">
        <v>1</v>
      </c>
      <c r="E71" s="22"/>
      <c r="F71" s="23"/>
      <c r="G71" s="22"/>
      <c r="H71" s="23"/>
      <c r="I71" s="22"/>
      <c r="J71" s="23"/>
      <c r="K71" s="22"/>
      <c r="L71" s="24"/>
      <c r="M71" s="22">
        <f>SUM(M61:M70)</f>
        <v>151</v>
      </c>
      <c r="N71" s="23">
        <f>SUM(N61:N70)</f>
        <v>123</v>
      </c>
      <c r="O71" s="22">
        <f>SUM(O61:O70)</f>
        <v>123</v>
      </c>
      <c r="P71" s="23">
        <f>SUM(P61:P70)</f>
        <v>151</v>
      </c>
      <c r="Q71" s="11">
        <f>SUM(Q61:Q70)/2</f>
        <v>90</v>
      </c>
      <c r="R71" s="24">
        <f>SUM(R61:R70)/2</f>
        <v>32</v>
      </c>
      <c r="S71" s="24">
        <f>SUM(S61:S70)/2</f>
        <v>26</v>
      </c>
      <c r="T71" s="24">
        <f>SUM(T61:T70)/2</f>
        <v>32</v>
      </c>
      <c r="U71" s="22">
        <f>SUM(U61:U70)</f>
        <v>274</v>
      </c>
      <c r="V71" s="24">
        <f>SUM(V61:V70)</f>
        <v>274</v>
      </c>
      <c r="W71" s="24"/>
      <c r="X71" s="12">
        <f>AVERAGE(X61:X70)</f>
        <v>1.6777777777777778</v>
      </c>
      <c r="Y71" s="12">
        <f>AVERAGE(Y61:Y70)</f>
        <v>1.3666666666666667</v>
      </c>
      <c r="Z71" s="13">
        <f>AVERAGE(Z61:Z70)</f>
        <v>1.3666666666666667</v>
      </c>
      <c r="AA71" s="14">
        <f>AVERAGE(AA61:AA70)</f>
        <v>1.6777777777777778</v>
      </c>
      <c r="AB71" s="12"/>
      <c r="AC71" s="12"/>
      <c r="AD71" s="12"/>
      <c r="AE71" s="13"/>
      <c r="AF71" s="12"/>
      <c r="AG71" s="14"/>
      <c r="AH71" s="35"/>
      <c r="AI71" s="21"/>
    </row>
    <row r="72" spans="3:35" collapsed="1" x14ac:dyDescent="0.2"/>
    <row r="73" spans="3:35" collapsed="1" x14ac:dyDescent="0.2">
      <c r="Z73" s="49"/>
      <c r="AA73" s="49"/>
    </row>
    <row r="74" spans="3:35" x14ac:dyDescent="0.2">
      <c r="C74" s="44" t="s">
        <v>39</v>
      </c>
    </row>
    <row r="75" spans="3:35" hidden="1" outlineLevel="1" x14ac:dyDescent="0.2"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190" t="s">
        <v>12</v>
      </c>
      <c r="Y75" s="191"/>
      <c r="Z75" s="191"/>
      <c r="AA75" s="191"/>
      <c r="AB75" s="191"/>
      <c r="AC75" s="191"/>
      <c r="AD75" s="191"/>
      <c r="AE75" s="191"/>
      <c r="AF75" s="191"/>
      <c r="AG75" s="192"/>
      <c r="AH75" s="21"/>
      <c r="AI75" s="21"/>
    </row>
    <row r="76" spans="3:35" hidden="1" outlineLevel="1" x14ac:dyDescent="0.2">
      <c r="C76" s="21"/>
      <c r="D76" s="21"/>
      <c r="E76" s="186" t="s">
        <v>4</v>
      </c>
      <c r="F76" s="186"/>
      <c r="G76" s="186" t="s">
        <v>7</v>
      </c>
      <c r="H76" s="186"/>
      <c r="I76" s="186" t="s">
        <v>0</v>
      </c>
      <c r="J76" s="186"/>
      <c r="K76" s="186" t="s">
        <v>5</v>
      </c>
      <c r="L76" s="186"/>
      <c r="M76" s="186" t="s">
        <v>9</v>
      </c>
      <c r="N76" s="186"/>
      <c r="O76" s="186" t="s">
        <v>10</v>
      </c>
      <c r="P76" s="186"/>
      <c r="Q76" s="21"/>
      <c r="R76" s="21"/>
      <c r="S76" s="21"/>
      <c r="T76" s="21"/>
      <c r="U76" s="21"/>
      <c r="V76" s="21"/>
      <c r="W76" s="21"/>
      <c r="X76" s="190" t="s">
        <v>16</v>
      </c>
      <c r="Y76" s="192"/>
      <c r="Z76" s="193" t="s">
        <v>17</v>
      </c>
      <c r="AA76" s="194"/>
      <c r="AB76" s="195" t="s">
        <v>15</v>
      </c>
      <c r="AC76" s="195"/>
      <c r="AD76" s="195"/>
      <c r="AE76" s="193" t="s">
        <v>18</v>
      </c>
      <c r="AF76" s="195"/>
      <c r="AG76" s="194"/>
      <c r="AH76" s="21"/>
      <c r="AI76" s="21"/>
    </row>
    <row r="77" spans="3:35" hidden="1" outlineLevel="1" x14ac:dyDescent="0.2">
      <c r="C77" s="21"/>
      <c r="D77" s="40" t="s">
        <v>6</v>
      </c>
      <c r="E77" s="40" t="s">
        <v>13</v>
      </c>
      <c r="F77" s="41" t="s">
        <v>14</v>
      </c>
      <c r="G77" s="40" t="s">
        <v>19</v>
      </c>
      <c r="H77" s="41" t="s">
        <v>21</v>
      </c>
      <c r="I77" s="40" t="s">
        <v>29</v>
      </c>
      <c r="J77" s="41" t="s">
        <v>30</v>
      </c>
      <c r="K77" s="40" t="s">
        <v>31</v>
      </c>
      <c r="L77" s="42" t="s">
        <v>32</v>
      </c>
      <c r="M77" s="40" t="s">
        <v>13</v>
      </c>
      <c r="N77" s="41" t="s">
        <v>14</v>
      </c>
      <c r="O77" s="40" t="s">
        <v>13</v>
      </c>
      <c r="P77" s="42" t="s">
        <v>14</v>
      </c>
      <c r="Q77" s="43" t="s">
        <v>24</v>
      </c>
      <c r="R77" s="42" t="s">
        <v>25</v>
      </c>
      <c r="S77" s="42" t="s">
        <v>20</v>
      </c>
      <c r="T77" s="42" t="s">
        <v>26</v>
      </c>
      <c r="U77" s="40" t="s">
        <v>27</v>
      </c>
      <c r="V77" s="42" t="s">
        <v>28</v>
      </c>
      <c r="W77" s="43" t="s">
        <v>20</v>
      </c>
      <c r="X77" s="41" t="s">
        <v>13</v>
      </c>
      <c r="Y77" s="41" t="s">
        <v>14</v>
      </c>
      <c r="Z77" s="40" t="s">
        <v>13</v>
      </c>
      <c r="AA77" s="42" t="s">
        <v>14</v>
      </c>
      <c r="AB77" s="41" t="s">
        <v>13</v>
      </c>
      <c r="AC77" s="41" t="s">
        <v>14</v>
      </c>
      <c r="AD77" s="41" t="s">
        <v>11</v>
      </c>
      <c r="AE77" s="40" t="s">
        <v>13</v>
      </c>
      <c r="AF77" s="41" t="s">
        <v>14</v>
      </c>
      <c r="AG77" s="42" t="s">
        <v>11</v>
      </c>
      <c r="AH77" s="43" t="s">
        <v>8</v>
      </c>
      <c r="AI77" s="21"/>
    </row>
    <row r="78" spans="3:35" hidden="1" outlineLevel="1" x14ac:dyDescent="0.2">
      <c r="C78" s="21"/>
      <c r="D78" s="10" t="s">
        <v>76</v>
      </c>
      <c r="E78" s="10">
        <v>9</v>
      </c>
      <c r="F78" s="46">
        <v>9</v>
      </c>
      <c r="G78" s="25">
        <v>5</v>
      </c>
      <c r="H78" s="26">
        <v>3</v>
      </c>
      <c r="I78" s="25">
        <v>1</v>
      </c>
      <c r="J78" s="26">
        <v>5</v>
      </c>
      <c r="K78" s="25">
        <v>3</v>
      </c>
      <c r="L78" s="27">
        <v>1</v>
      </c>
      <c r="M78" s="25">
        <v>9</v>
      </c>
      <c r="N78" s="26">
        <v>11</v>
      </c>
      <c r="O78" s="25">
        <v>9</v>
      </c>
      <c r="P78" s="26">
        <v>11</v>
      </c>
      <c r="Q78" s="16">
        <f t="shared" ref="Q78:Q87" si="95">E78+F78</f>
        <v>18</v>
      </c>
      <c r="R78" s="27">
        <f t="shared" ref="R78:R87" si="96">G78+H78</f>
        <v>8</v>
      </c>
      <c r="S78" s="27">
        <f t="shared" ref="S78:S87" si="97">I78+J78</f>
        <v>6</v>
      </c>
      <c r="T78" s="27">
        <f t="shared" ref="T78:T87" si="98">K78+L78</f>
        <v>4</v>
      </c>
      <c r="U78" s="25">
        <f t="shared" ref="U78:U87" si="99">M78+N78</f>
        <v>20</v>
      </c>
      <c r="V78" s="27">
        <f t="shared" ref="V78:V87" si="100">O78+P78</f>
        <v>20</v>
      </c>
      <c r="W78" s="27">
        <f t="shared" ref="W78:W87" si="101">U78-V78</f>
        <v>0</v>
      </c>
      <c r="X78" s="17">
        <f t="shared" ref="X78:X87" si="102">M78/E78</f>
        <v>1</v>
      </c>
      <c r="Y78" s="17">
        <f t="shared" ref="Y78:Y87" si="103">N78/F78</f>
        <v>1.2222222222222223</v>
      </c>
      <c r="Z78" s="18">
        <f t="shared" ref="Z78:Z87" si="104">O78/E78</f>
        <v>1</v>
      </c>
      <c r="AA78" s="19">
        <f t="shared" ref="AA78:AA87" si="105">P78/F78</f>
        <v>1.2222222222222223</v>
      </c>
      <c r="AB78" s="17">
        <f t="shared" ref="AB78:AB87" si="106">X78/X$88</f>
        <v>0.68181818181818188</v>
      </c>
      <c r="AC78" s="17">
        <f t="shared" ref="AC78:AC87" si="107">Y78/Y$88</f>
        <v>1.0185185185185186</v>
      </c>
      <c r="AD78" s="17">
        <f t="shared" ref="AD78:AD87" si="108">AVERAGE(AB78,AC78)</f>
        <v>0.85016835016835024</v>
      </c>
      <c r="AE78" s="18">
        <f t="shared" ref="AE78:AE87" si="109">Z78/Z$88</f>
        <v>0.83333333333333337</v>
      </c>
      <c r="AF78" s="17">
        <f t="shared" ref="AF78:AF87" si="110">AA78/AA$88</f>
        <v>0.83333333333333348</v>
      </c>
      <c r="AG78" s="19">
        <f t="shared" ref="AG78:AG87" si="111">AVERAGE(AE78,AF78)</f>
        <v>0.83333333333333348</v>
      </c>
      <c r="AH78" s="34">
        <f t="shared" ref="AH78:AH87" si="112">(R78*3)+(S78*1)</f>
        <v>30</v>
      </c>
      <c r="AI78" s="21"/>
    </row>
    <row r="79" spans="3:35" s="128" customFormat="1" hidden="1" outlineLevel="1" x14ac:dyDescent="0.2">
      <c r="C79" s="104"/>
      <c r="D79" s="132" t="s">
        <v>83</v>
      </c>
      <c r="E79" s="132">
        <v>9</v>
      </c>
      <c r="F79" s="104">
        <v>9</v>
      </c>
      <c r="G79" s="133">
        <v>5</v>
      </c>
      <c r="H79" s="134">
        <v>3</v>
      </c>
      <c r="I79" s="133">
        <v>3</v>
      </c>
      <c r="J79" s="134">
        <v>1</v>
      </c>
      <c r="K79" s="133">
        <v>1</v>
      </c>
      <c r="L79" s="135">
        <v>5</v>
      </c>
      <c r="M79" s="133">
        <v>15</v>
      </c>
      <c r="N79" s="134">
        <v>12</v>
      </c>
      <c r="O79" s="133">
        <v>9</v>
      </c>
      <c r="P79" s="134">
        <v>15</v>
      </c>
      <c r="Q79" s="136">
        <f t="shared" si="95"/>
        <v>18</v>
      </c>
      <c r="R79" s="135">
        <f t="shared" si="96"/>
        <v>8</v>
      </c>
      <c r="S79" s="135">
        <f t="shared" si="97"/>
        <v>4</v>
      </c>
      <c r="T79" s="135">
        <f t="shared" si="98"/>
        <v>6</v>
      </c>
      <c r="U79" s="133">
        <f t="shared" si="99"/>
        <v>27</v>
      </c>
      <c r="V79" s="135">
        <f t="shared" si="100"/>
        <v>24</v>
      </c>
      <c r="W79" s="135">
        <f t="shared" si="101"/>
        <v>3</v>
      </c>
      <c r="X79" s="105">
        <f t="shared" si="102"/>
        <v>1.6666666666666667</v>
      </c>
      <c r="Y79" s="105">
        <f t="shared" si="103"/>
        <v>1.3333333333333333</v>
      </c>
      <c r="Z79" s="137">
        <f t="shared" si="104"/>
        <v>1</v>
      </c>
      <c r="AA79" s="138">
        <f t="shared" si="105"/>
        <v>1.6666666666666667</v>
      </c>
      <c r="AB79" s="105">
        <f t="shared" si="106"/>
        <v>1.1363636363636365</v>
      </c>
      <c r="AC79" s="105">
        <f t="shared" si="107"/>
        <v>1.1111111111111112</v>
      </c>
      <c r="AD79" s="105">
        <f t="shared" si="108"/>
        <v>1.1237373737373737</v>
      </c>
      <c r="AE79" s="137">
        <f t="shared" si="109"/>
        <v>0.83333333333333337</v>
      </c>
      <c r="AF79" s="105">
        <f t="shared" si="110"/>
        <v>1.1363636363636365</v>
      </c>
      <c r="AG79" s="138">
        <f t="shared" si="111"/>
        <v>0.98484848484848486</v>
      </c>
      <c r="AH79" s="139">
        <f t="shared" si="112"/>
        <v>28</v>
      </c>
      <c r="AI79" s="104"/>
    </row>
    <row r="80" spans="3:35" hidden="1" outlineLevel="1" x14ac:dyDescent="0.2">
      <c r="C80" s="21"/>
      <c r="D80" s="2" t="s">
        <v>84</v>
      </c>
      <c r="E80" s="2">
        <v>9</v>
      </c>
      <c r="F80" s="21">
        <v>9</v>
      </c>
      <c r="G80" s="28">
        <v>1</v>
      </c>
      <c r="H80" s="47">
        <v>1</v>
      </c>
      <c r="I80" s="28">
        <v>2</v>
      </c>
      <c r="J80" s="47">
        <v>1</v>
      </c>
      <c r="K80" s="28">
        <v>6</v>
      </c>
      <c r="L80" s="29">
        <v>7</v>
      </c>
      <c r="M80" s="28">
        <v>10</v>
      </c>
      <c r="N80" s="47">
        <v>6</v>
      </c>
      <c r="O80" s="28">
        <v>17</v>
      </c>
      <c r="P80" s="47">
        <v>15</v>
      </c>
      <c r="Q80" s="3">
        <f t="shared" si="95"/>
        <v>18</v>
      </c>
      <c r="R80" s="29">
        <f t="shared" si="96"/>
        <v>2</v>
      </c>
      <c r="S80" s="29">
        <f t="shared" si="97"/>
        <v>3</v>
      </c>
      <c r="T80" s="29">
        <f t="shared" si="98"/>
        <v>13</v>
      </c>
      <c r="U80" s="28">
        <f t="shared" si="99"/>
        <v>16</v>
      </c>
      <c r="V80" s="29">
        <f t="shared" si="100"/>
        <v>32</v>
      </c>
      <c r="W80" s="29">
        <f t="shared" si="101"/>
        <v>-16</v>
      </c>
      <c r="X80" s="15">
        <f t="shared" si="102"/>
        <v>1.1111111111111112</v>
      </c>
      <c r="Y80" s="15">
        <f t="shared" si="103"/>
        <v>0.66666666666666663</v>
      </c>
      <c r="Z80" s="4">
        <f t="shared" si="104"/>
        <v>1.8888888888888888</v>
      </c>
      <c r="AA80" s="5">
        <f t="shared" si="105"/>
        <v>1.6666666666666667</v>
      </c>
      <c r="AB80" s="15">
        <f t="shared" si="106"/>
        <v>0.75757575757575768</v>
      </c>
      <c r="AC80" s="15">
        <f t="shared" si="107"/>
        <v>0.55555555555555558</v>
      </c>
      <c r="AD80" s="15">
        <f t="shared" si="108"/>
        <v>0.65656565656565657</v>
      </c>
      <c r="AE80" s="4">
        <f t="shared" si="109"/>
        <v>1.5740740740740742</v>
      </c>
      <c r="AF80" s="15">
        <f t="shared" si="110"/>
        <v>1.1363636363636365</v>
      </c>
      <c r="AG80" s="5">
        <f t="shared" si="111"/>
        <v>1.3552188552188553</v>
      </c>
      <c r="AH80" s="34">
        <f t="shared" si="112"/>
        <v>9</v>
      </c>
      <c r="AI80" s="21"/>
    </row>
    <row r="81" spans="3:35" hidden="1" outlineLevel="1" x14ac:dyDescent="0.2">
      <c r="C81" s="21"/>
      <c r="D81" s="2" t="s">
        <v>80</v>
      </c>
      <c r="E81" s="2">
        <v>9</v>
      </c>
      <c r="F81" s="21">
        <v>9</v>
      </c>
      <c r="G81" s="28">
        <v>7</v>
      </c>
      <c r="H81" s="47">
        <v>3</v>
      </c>
      <c r="I81" s="28">
        <v>1</v>
      </c>
      <c r="J81" s="47">
        <v>3</v>
      </c>
      <c r="K81" s="28">
        <v>1</v>
      </c>
      <c r="L81" s="29">
        <v>3</v>
      </c>
      <c r="M81" s="28">
        <v>25</v>
      </c>
      <c r="N81" s="47">
        <v>11</v>
      </c>
      <c r="O81" s="28">
        <v>7</v>
      </c>
      <c r="P81" s="47">
        <v>13</v>
      </c>
      <c r="Q81" s="3">
        <f t="shared" si="95"/>
        <v>18</v>
      </c>
      <c r="R81" s="29">
        <f t="shared" si="96"/>
        <v>10</v>
      </c>
      <c r="S81" s="29">
        <f t="shared" si="97"/>
        <v>4</v>
      </c>
      <c r="T81" s="29">
        <f t="shared" si="98"/>
        <v>4</v>
      </c>
      <c r="U81" s="28">
        <f t="shared" si="99"/>
        <v>36</v>
      </c>
      <c r="V81" s="29">
        <f t="shared" si="100"/>
        <v>20</v>
      </c>
      <c r="W81" s="29">
        <f t="shared" si="101"/>
        <v>16</v>
      </c>
      <c r="X81" s="15">
        <f t="shared" si="102"/>
        <v>2.7777777777777777</v>
      </c>
      <c r="Y81" s="15">
        <f t="shared" si="103"/>
        <v>1.2222222222222223</v>
      </c>
      <c r="Z81" s="4">
        <f t="shared" si="104"/>
        <v>0.77777777777777779</v>
      </c>
      <c r="AA81" s="5">
        <f t="shared" si="105"/>
        <v>1.4444444444444444</v>
      </c>
      <c r="AB81" s="15">
        <f t="shared" si="106"/>
        <v>1.893939393939394</v>
      </c>
      <c r="AC81" s="15">
        <f t="shared" si="107"/>
        <v>1.0185185185185186</v>
      </c>
      <c r="AD81" s="15">
        <f t="shared" si="108"/>
        <v>1.4562289562289563</v>
      </c>
      <c r="AE81" s="4">
        <f t="shared" si="109"/>
        <v>0.64814814814814814</v>
      </c>
      <c r="AF81" s="15">
        <f t="shared" si="110"/>
        <v>0.98484848484848486</v>
      </c>
      <c r="AG81" s="5">
        <f t="shared" si="111"/>
        <v>0.8164983164983165</v>
      </c>
      <c r="AH81" s="34">
        <f t="shared" si="112"/>
        <v>34</v>
      </c>
      <c r="AI81" s="21"/>
    </row>
    <row r="82" spans="3:35" hidden="1" outlineLevel="1" x14ac:dyDescent="0.2">
      <c r="C82" s="21"/>
      <c r="D82" s="2" t="s">
        <v>85</v>
      </c>
      <c r="E82" s="2">
        <v>9</v>
      </c>
      <c r="F82" s="21">
        <v>9</v>
      </c>
      <c r="G82" s="28">
        <v>3</v>
      </c>
      <c r="H82" s="47">
        <v>3</v>
      </c>
      <c r="I82" s="28">
        <v>2</v>
      </c>
      <c r="J82" s="47">
        <v>2</v>
      </c>
      <c r="K82" s="28">
        <v>4</v>
      </c>
      <c r="L82" s="29">
        <v>4</v>
      </c>
      <c r="M82" s="28">
        <v>12</v>
      </c>
      <c r="N82" s="47">
        <v>12</v>
      </c>
      <c r="O82" s="28">
        <v>17</v>
      </c>
      <c r="P82" s="47">
        <v>13</v>
      </c>
      <c r="Q82" s="3">
        <f t="shared" si="95"/>
        <v>18</v>
      </c>
      <c r="R82" s="29">
        <f t="shared" si="96"/>
        <v>6</v>
      </c>
      <c r="S82" s="29">
        <f t="shared" si="97"/>
        <v>4</v>
      </c>
      <c r="T82" s="29">
        <f t="shared" si="98"/>
        <v>8</v>
      </c>
      <c r="U82" s="28">
        <f t="shared" si="99"/>
        <v>24</v>
      </c>
      <c r="V82" s="29">
        <f t="shared" si="100"/>
        <v>30</v>
      </c>
      <c r="W82" s="29">
        <f t="shared" si="101"/>
        <v>-6</v>
      </c>
      <c r="X82" s="15">
        <f t="shared" si="102"/>
        <v>1.3333333333333333</v>
      </c>
      <c r="Y82" s="15">
        <f t="shared" si="103"/>
        <v>1.3333333333333333</v>
      </c>
      <c r="Z82" s="4">
        <f t="shared" si="104"/>
        <v>1.8888888888888888</v>
      </c>
      <c r="AA82" s="5">
        <f t="shared" si="105"/>
        <v>1.4444444444444444</v>
      </c>
      <c r="AB82" s="15">
        <f t="shared" si="106"/>
        <v>0.90909090909090906</v>
      </c>
      <c r="AC82" s="15">
        <f t="shared" si="107"/>
        <v>1.1111111111111112</v>
      </c>
      <c r="AD82" s="15">
        <f t="shared" si="108"/>
        <v>1.0101010101010102</v>
      </c>
      <c r="AE82" s="4">
        <f t="shared" si="109"/>
        <v>1.5740740740740742</v>
      </c>
      <c r="AF82" s="15">
        <f t="shared" si="110"/>
        <v>0.98484848484848486</v>
      </c>
      <c r="AG82" s="5">
        <f t="shared" si="111"/>
        <v>1.2794612794612794</v>
      </c>
      <c r="AH82" s="34">
        <f t="shared" si="112"/>
        <v>22</v>
      </c>
      <c r="AI82" s="21"/>
    </row>
    <row r="83" spans="3:35" hidden="1" outlineLevel="1" x14ac:dyDescent="0.2">
      <c r="C83" s="21"/>
      <c r="D83" s="2" t="s">
        <v>82</v>
      </c>
      <c r="E83" s="2">
        <v>9</v>
      </c>
      <c r="F83" s="21">
        <v>9</v>
      </c>
      <c r="G83" s="28">
        <v>5</v>
      </c>
      <c r="H83" s="47">
        <v>1</v>
      </c>
      <c r="I83" s="28">
        <v>3</v>
      </c>
      <c r="J83" s="47">
        <v>6</v>
      </c>
      <c r="K83" s="28">
        <v>1</v>
      </c>
      <c r="L83" s="29">
        <v>2</v>
      </c>
      <c r="M83" s="28">
        <v>19</v>
      </c>
      <c r="N83" s="47">
        <v>10</v>
      </c>
      <c r="O83" s="28">
        <v>11</v>
      </c>
      <c r="P83" s="47">
        <v>10</v>
      </c>
      <c r="Q83" s="3">
        <f t="shared" si="95"/>
        <v>18</v>
      </c>
      <c r="R83" s="29">
        <f t="shared" si="96"/>
        <v>6</v>
      </c>
      <c r="S83" s="29">
        <f t="shared" si="97"/>
        <v>9</v>
      </c>
      <c r="T83" s="29">
        <f t="shared" si="98"/>
        <v>3</v>
      </c>
      <c r="U83" s="28">
        <f t="shared" si="99"/>
        <v>29</v>
      </c>
      <c r="V83" s="29">
        <f t="shared" si="100"/>
        <v>21</v>
      </c>
      <c r="W83" s="29">
        <f t="shared" si="101"/>
        <v>8</v>
      </c>
      <c r="X83" s="15">
        <f t="shared" si="102"/>
        <v>2.1111111111111112</v>
      </c>
      <c r="Y83" s="15">
        <f t="shared" si="103"/>
        <v>1.1111111111111112</v>
      </c>
      <c r="Z83" s="4">
        <f t="shared" si="104"/>
        <v>1.2222222222222223</v>
      </c>
      <c r="AA83" s="5">
        <f t="shared" si="105"/>
        <v>1.1111111111111112</v>
      </c>
      <c r="AB83" s="15">
        <f t="shared" si="106"/>
        <v>1.4393939393939394</v>
      </c>
      <c r="AC83" s="15">
        <f t="shared" si="107"/>
        <v>0.92592592592592604</v>
      </c>
      <c r="AD83" s="15">
        <f t="shared" si="108"/>
        <v>1.1826599326599327</v>
      </c>
      <c r="AE83" s="4">
        <f t="shared" si="109"/>
        <v>1.0185185185185186</v>
      </c>
      <c r="AF83" s="15">
        <f t="shared" si="110"/>
        <v>0.75757575757575768</v>
      </c>
      <c r="AG83" s="5">
        <f t="shared" si="111"/>
        <v>0.8880471380471382</v>
      </c>
      <c r="AH83" s="34">
        <f t="shared" si="112"/>
        <v>27</v>
      </c>
      <c r="AI83" s="21"/>
    </row>
    <row r="84" spans="3:35" hidden="1" outlineLevel="1" x14ac:dyDescent="0.2">
      <c r="C84" s="21"/>
      <c r="D84" s="2" t="s">
        <v>78</v>
      </c>
      <c r="E84" s="2">
        <v>9</v>
      </c>
      <c r="F84" s="21">
        <v>9</v>
      </c>
      <c r="G84" s="28">
        <v>1</v>
      </c>
      <c r="H84" s="47">
        <v>1</v>
      </c>
      <c r="I84" s="28">
        <v>5</v>
      </c>
      <c r="J84" s="47">
        <v>4</v>
      </c>
      <c r="K84" s="28">
        <v>3</v>
      </c>
      <c r="L84" s="29">
        <v>4</v>
      </c>
      <c r="M84" s="28">
        <v>9</v>
      </c>
      <c r="N84" s="47">
        <v>9</v>
      </c>
      <c r="O84" s="28">
        <v>10</v>
      </c>
      <c r="P84" s="47">
        <v>18</v>
      </c>
      <c r="Q84" s="3">
        <f t="shared" si="95"/>
        <v>18</v>
      </c>
      <c r="R84" s="29">
        <f t="shared" si="96"/>
        <v>2</v>
      </c>
      <c r="S84" s="29">
        <f t="shared" si="97"/>
        <v>9</v>
      </c>
      <c r="T84" s="29">
        <f t="shared" si="98"/>
        <v>7</v>
      </c>
      <c r="U84" s="28">
        <f t="shared" si="99"/>
        <v>18</v>
      </c>
      <c r="V84" s="29">
        <f t="shared" si="100"/>
        <v>28</v>
      </c>
      <c r="W84" s="29">
        <f t="shared" si="101"/>
        <v>-10</v>
      </c>
      <c r="X84" s="15">
        <f t="shared" si="102"/>
        <v>1</v>
      </c>
      <c r="Y84" s="15">
        <f t="shared" si="103"/>
        <v>1</v>
      </c>
      <c r="Z84" s="4">
        <f t="shared" si="104"/>
        <v>1.1111111111111112</v>
      </c>
      <c r="AA84" s="5">
        <f t="shared" si="105"/>
        <v>2</v>
      </c>
      <c r="AB84" s="15">
        <f t="shared" si="106"/>
        <v>0.68181818181818188</v>
      </c>
      <c r="AC84" s="15">
        <f t="shared" si="107"/>
        <v>0.83333333333333337</v>
      </c>
      <c r="AD84" s="15">
        <f t="shared" si="108"/>
        <v>0.75757575757575757</v>
      </c>
      <c r="AE84" s="4">
        <f t="shared" si="109"/>
        <v>0.92592592592592604</v>
      </c>
      <c r="AF84" s="15">
        <f t="shared" si="110"/>
        <v>1.3636363636363638</v>
      </c>
      <c r="AG84" s="5">
        <f t="shared" si="111"/>
        <v>1.1447811447811449</v>
      </c>
      <c r="AH84" s="34">
        <f t="shared" si="112"/>
        <v>15</v>
      </c>
      <c r="AI84" s="21"/>
    </row>
    <row r="85" spans="3:35" hidden="1" outlineLevel="1" x14ac:dyDescent="0.2">
      <c r="C85" s="21"/>
      <c r="D85" s="2" t="s">
        <v>86</v>
      </c>
      <c r="E85" s="2">
        <v>9</v>
      </c>
      <c r="F85" s="21">
        <v>9</v>
      </c>
      <c r="G85" s="28">
        <v>5</v>
      </c>
      <c r="H85" s="47">
        <v>4</v>
      </c>
      <c r="I85" s="28">
        <v>1</v>
      </c>
      <c r="J85" s="47">
        <v>2</v>
      </c>
      <c r="K85" s="28">
        <v>3</v>
      </c>
      <c r="L85" s="29">
        <v>3</v>
      </c>
      <c r="M85" s="28">
        <v>13</v>
      </c>
      <c r="N85" s="47">
        <v>12</v>
      </c>
      <c r="O85" s="28">
        <v>7</v>
      </c>
      <c r="P85" s="47">
        <v>13</v>
      </c>
      <c r="Q85" s="3">
        <f t="shared" si="95"/>
        <v>18</v>
      </c>
      <c r="R85" s="29">
        <f t="shared" si="96"/>
        <v>9</v>
      </c>
      <c r="S85" s="29">
        <f t="shared" si="97"/>
        <v>3</v>
      </c>
      <c r="T85" s="29">
        <f t="shared" si="98"/>
        <v>6</v>
      </c>
      <c r="U85" s="28">
        <f t="shared" si="99"/>
        <v>25</v>
      </c>
      <c r="V85" s="29">
        <f t="shared" si="100"/>
        <v>20</v>
      </c>
      <c r="W85" s="29">
        <f t="shared" si="101"/>
        <v>5</v>
      </c>
      <c r="X85" s="15">
        <f t="shared" si="102"/>
        <v>1.4444444444444444</v>
      </c>
      <c r="Y85" s="15">
        <f t="shared" si="103"/>
        <v>1.3333333333333333</v>
      </c>
      <c r="Z85" s="4">
        <f t="shared" si="104"/>
        <v>0.77777777777777779</v>
      </c>
      <c r="AA85" s="5">
        <f t="shared" si="105"/>
        <v>1.4444444444444444</v>
      </c>
      <c r="AB85" s="15">
        <f t="shared" si="106"/>
        <v>0.98484848484848486</v>
      </c>
      <c r="AC85" s="15">
        <f t="shared" si="107"/>
        <v>1.1111111111111112</v>
      </c>
      <c r="AD85" s="15">
        <f t="shared" si="108"/>
        <v>1.047979797979798</v>
      </c>
      <c r="AE85" s="4">
        <f t="shared" si="109"/>
        <v>0.64814814814814814</v>
      </c>
      <c r="AF85" s="15">
        <f t="shared" si="110"/>
        <v>0.98484848484848486</v>
      </c>
      <c r="AG85" s="5">
        <f t="shared" si="111"/>
        <v>0.8164983164983165</v>
      </c>
      <c r="AH85" s="34">
        <f t="shared" si="112"/>
        <v>30</v>
      </c>
      <c r="AI85" s="21"/>
    </row>
    <row r="86" spans="3:35" hidden="1" outlineLevel="1" x14ac:dyDescent="0.2">
      <c r="C86" s="21"/>
      <c r="D86" s="2" t="s">
        <v>79</v>
      </c>
      <c r="E86" s="2">
        <v>9</v>
      </c>
      <c r="F86" s="50">
        <v>9</v>
      </c>
      <c r="G86" s="28">
        <v>2</v>
      </c>
      <c r="H86" s="74">
        <v>5</v>
      </c>
      <c r="I86" s="28">
        <v>6</v>
      </c>
      <c r="J86" s="74">
        <v>2</v>
      </c>
      <c r="K86" s="28">
        <v>1</v>
      </c>
      <c r="L86" s="29">
        <v>2</v>
      </c>
      <c r="M86" s="28">
        <v>9</v>
      </c>
      <c r="N86" s="74">
        <v>13</v>
      </c>
      <c r="O86" s="28">
        <v>8</v>
      </c>
      <c r="P86" s="74">
        <v>10</v>
      </c>
      <c r="Q86" s="3">
        <f t="shared" si="95"/>
        <v>18</v>
      </c>
      <c r="R86" s="29">
        <f t="shared" si="96"/>
        <v>7</v>
      </c>
      <c r="S86" s="29">
        <f t="shared" si="97"/>
        <v>8</v>
      </c>
      <c r="T86" s="29">
        <f t="shared" si="98"/>
        <v>3</v>
      </c>
      <c r="U86" s="28">
        <f t="shared" si="99"/>
        <v>22</v>
      </c>
      <c r="V86" s="29">
        <f t="shared" si="100"/>
        <v>18</v>
      </c>
      <c r="W86" s="29">
        <f t="shared" si="101"/>
        <v>4</v>
      </c>
      <c r="X86" s="51">
        <f t="shared" si="102"/>
        <v>1</v>
      </c>
      <c r="Y86" s="51">
        <f t="shared" si="103"/>
        <v>1.4444444444444444</v>
      </c>
      <c r="Z86" s="4">
        <f t="shared" si="104"/>
        <v>0.88888888888888884</v>
      </c>
      <c r="AA86" s="5">
        <f t="shared" si="105"/>
        <v>1.1111111111111112</v>
      </c>
      <c r="AB86" s="51">
        <f t="shared" si="106"/>
        <v>0.68181818181818188</v>
      </c>
      <c r="AC86" s="51">
        <f t="shared" si="107"/>
        <v>1.2037037037037037</v>
      </c>
      <c r="AD86" s="51">
        <f t="shared" si="108"/>
        <v>0.9427609427609428</v>
      </c>
      <c r="AE86" s="4">
        <f t="shared" si="109"/>
        <v>0.7407407407407407</v>
      </c>
      <c r="AF86" s="51">
        <f t="shared" si="110"/>
        <v>0.75757575757575768</v>
      </c>
      <c r="AG86" s="5">
        <f t="shared" si="111"/>
        <v>0.74915824915824913</v>
      </c>
      <c r="AH86" s="34">
        <f t="shared" si="112"/>
        <v>29</v>
      </c>
      <c r="AI86" s="21"/>
    </row>
    <row r="87" spans="3:35" ht="17" hidden="1" outlineLevel="1" thickBot="1" x14ac:dyDescent="0.25">
      <c r="C87" s="1"/>
      <c r="D87" s="33" t="s">
        <v>81</v>
      </c>
      <c r="E87" s="33">
        <v>9</v>
      </c>
      <c r="F87" s="1">
        <v>9</v>
      </c>
      <c r="G87" s="30">
        <v>2</v>
      </c>
      <c r="H87" s="31">
        <v>2</v>
      </c>
      <c r="I87" s="30">
        <v>4</v>
      </c>
      <c r="J87" s="31">
        <v>2</v>
      </c>
      <c r="K87" s="30">
        <v>3</v>
      </c>
      <c r="L87" s="32">
        <v>5</v>
      </c>
      <c r="M87" s="30">
        <v>11</v>
      </c>
      <c r="N87" s="31">
        <v>12</v>
      </c>
      <c r="O87" s="30">
        <v>13</v>
      </c>
      <c r="P87" s="31">
        <v>14</v>
      </c>
      <c r="Q87" s="6">
        <f t="shared" si="95"/>
        <v>18</v>
      </c>
      <c r="R87" s="32">
        <f t="shared" si="96"/>
        <v>4</v>
      </c>
      <c r="S87" s="32">
        <f t="shared" si="97"/>
        <v>6</v>
      </c>
      <c r="T87" s="32">
        <f t="shared" si="98"/>
        <v>8</v>
      </c>
      <c r="U87" s="30">
        <f t="shared" si="99"/>
        <v>23</v>
      </c>
      <c r="V87" s="32">
        <f t="shared" si="100"/>
        <v>27</v>
      </c>
      <c r="W87" s="32">
        <f t="shared" si="101"/>
        <v>-4</v>
      </c>
      <c r="X87" s="8">
        <f t="shared" si="102"/>
        <v>1.2222222222222223</v>
      </c>
      <c r="Y87" s="8">
        <f t="shared" si="103"/>
        <v>1.3333333333333333</v>
      </c>
      <c r="Z87" s="7">
        <f t="shared" si="104"/>
        <v>1.4444444444444444</v>
      </c>
      <c r="AA87" s="9">
        <f t="shared" si="105"/>
        <v>1.5555555555555556</v>
      </c>
      <c r="AB87" s="8">
        <f t="shared" si="106"/>
        <v>0.83333333333333348</v>
      </c>
      <c r="AC87" s="8">
        <f t="shared" si="107"/>
        <v>1.1111111111111112</v>
      </c>
      <c r="AD87" s="8">
        <f t="shared" si="108"/>
        <v>0.97222222222222232</v>
      </c>
      <c r="AE87" s="7">
        <f t="shared" si="109"/>
        <v>1.2037037037037037</v>
      </c>
      <c r="AF87" s="8">
        <f t="shared" si="110"/>
        <v>1.0606060606060608</v>
      </c>
      <c r="AG87" s="9">
        <f t="shared" si="111"/>
        <v>1.1321548821548824</v>
      </c>
      <c r="AH87" s="36">
        <f t="shared" si="112"/>
        <v>18</v>
      </c>
      <c r="AI87" s="1"/>
    </row>
    <row r="88" spans="3:35" hidden="1" outlineLevel="1" x14ac:dyDescent="0.2">
      <c r="C88" s="21"/>
      <c r="D88" s="22" t="s">
        <v>1</v>
      </c>
      <c r="E88" s="22"/>
      <c r="F88" s="23"/>
      <c r="G88" s="22"/>
      <c r="H88" s="23"/>
      <c r="I88" s="22"/>
      <c r="J88" s="23"/>
      <c r="K88" s="22"/>
      <c r="L88" s="24"/>
      <c r="M88" s="22">
        <v>132</v>
      </c>
      <c r="N88" s="23">
        <v>108</v>
      </c>
      <c r="O88" s="22">
        <v>108</v>
      </c>
      <c r="P88" s="23">
        <v>132</v>
      </c>
      <c r="Q88" s="11">
        <v>90</v>
      </c>
      <c r="R88" s="24">
        <v>31</v>
      </c>
      <c r="S88" s="24">
        <v>28</v>
      </c>
      <c r="T88" s="24">
        <v>31</v>
      </c>
      <c r="U88" s="22">
        <v>240</v>
      </c>
      <c r="V88" s="24">
        <v>240</v>
      </c>
      <c r="W88" s="24"/>
      <c r="X88" s="12">
        <v>1.4666666666666666</v>
      </c>
      <c r="Y88" s="12">
        <v>1.2</v>
      </c>
      <c r="Z88" s="13">
        <v>1.2</v>
      </c>
      <c r="AA88" s="14">
        <v>1.4666666666666666</v>
      </c>
      <c r="AB88" s="12"/>
      <c r="AC88" s="12"/>
      <c r="AD88" s="12"/>
      <c r="AE88" s="13"/>
      <c r="AF88" s="12"/>
      <c r="AG88" s="14"/>
      <c r="AH88" s="35"/>
      <c r="AI88" s="21"/>
    </row>
    <row r="89" spans="3:35" collapsed="1" x14ac:dyDescent="0.2"/>
    <row r="91" spans="3:35" x14ac:dyDescent="0.2">
      <c r="C91" s="44" t="s">
        <v>40</v>
      </c>
    </row>
    <row r="92" spans="3:35" hidden="1" outlineLevel="1" x14ac:dyDescent="0.2">
      <c r="D92" s="21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190" t="s">
        <v>12</v>
      </c>
      <c r="Y92" s="191"/>
      <c r="Z92" s="191"/>
      <c r="AA92" s="191"/>
      <c r="AB92" s="191"/>
      <c r="AC92" s="191"/>
      <c r="AD92" s="191"/>
      <c r="AE92" s="191"/>
      <c r="AF92" s="191"/>
      <c r="AG92" s="192"/>
      <c r="AH92" s="21"/>
      <c r="AI92" s="21"/>
    </row>
    <row r="93" spans="3:35" hidden="1" outlineLevel="1" x14ac:dyDescent="0.2">
      <c r="C93" s="21"/>
      <c r="D93" s="21"/>
      <c r="E93" s="186" t="s">
        <v>4</v>
      </c>
      <c r="F93" s="186"/>
      <c r="G93" s="186" t="s">
        <v>7</v>
      </c>
      <c r="H93" s="186"/>
      <c r="I93" s="186" t="s">
        <v>0</v>
      </c>
      <c r="J93" s="186"/>
      <c r="K93" s="186" t="s">
        <v>5</v>
      </c>
      <c r="L93" s="186"/>
      <c r="M93" s="186" t="s">
        <v>9</v>
      </c>
      <c r="N93" s="186"/>
      <c r="O93" s="186" t="s">
        <v>10</v>
      </c>
      <c r="P93" s="186"/>
      <c r="Q93" s="45"/>
      <c r="R93" s="45"/>
      <c r="S93" s="45"/>
      <c r="T93" s="45"/>
      <c r="U93" s="45"/>
      <c r="V93" s="45"/>
      <c r="W93" s="21"/>
      <c r="X93" s="190" t="s">
        <v>16</v>
      </c>
      <c r="Y93" s="192"/>
      <c r="Z93" s="193" t="s">
        <v>17</v>
      </c>
      <c r="AA93" s="194"/>
      <c r="AB93" s="195" t="s">
        <v>15</v>
      </c>
      <c r="AC93" s="195"/>
      <c r="AD93" s="195"/>
      <c r="AE93" s="193" t="s">
        <v>18</v>
      </c>
      <c r="AF93" s="195"/>
      <c r="AG93" s="194"/>
      <c r="AH93" s="21"/>
      <c r="AI93" s="21"/>
    </row>
    <row r="94" spans="3:35" hidden="1" outlineLevel="1" x14ac:dyDescent="0.2">
      <c r="C94" s="21"/>
      <c r="D94" s="40" t="s">
        <v>6</v>
      </c>
      <c r="E94" s="40" t="s">
        <v>13</v>
      </c>
      <c r="F94" s="41" t="s">
        <v>14</v>
      </c>
      <c r="G94" s="40" t="s">
        <v>13</v>
      </c>
      <c r="H94" s="41" t="s">
        <v>14</v>
      </c>
      <c r="I94" s="40" t="s">
        <v>13</v>
      </c>
      <c r="J94" s="41" t="s">
        <v>14</v>
      </c>
      <c r="K94" s="40" t="s">
        <v>13</v>
      </c>
      <c r="L94" s="42" t="s">
        <v>14</v>
      </c>
      <c r="M94" s="40" t="s">
        <v>13</v>
      </c>
      <c r="N94" s="41" t="s">
        <v>14</v>
      </c>
      <c r="O94" s="40" t="s">
        <v>13</v>
      </c>
      <c r="P94" s="42" t="s">
        <v>14</v>
      </c>
      <c r="Q94" s="43" t="s">
        <v>24</v>
      </c>
      <c r="R94" s="42" t="s">
        <v>25</v>
      </c>
      <c r="S94" s="42" t="s">
        <v>20</v>
      </c>
      <c r="T94" s="42" t="s">
        <v>26</v>
      </c>
      <c r="U94" s="40" t="s">
        <v>27</v>
      </c>
      <c r="V94" s="42" t="s">
        <v>28</v>
      </c>
      <c r="W94" s="43" t="s">
        <v>20</v>
      </c>
      <c r="X94" s="41" t="s">
        <v>13</v>
      </c>
      <c r="Y94" s="41" t="s">
        <v>14</v>
      </c>
      <c r="Z94" s="40" t="s">
        <v>13</v>
      </c>
      <c r="AA94" s="42" t="s">
        <v>14</v>
      </c>
      <c r="AB94" s="41" t="s">
        <v>13</v>
      </c>
      <c r="AC94" s="41" t="s">
        <v>14</v>
      </c>
      <c r="AD94" s="41" t="s">
        <v>11</v>
      </c>
      <c r="AE94" s="40" t="s">
        <v>13</v>
      </c>
      <c r="AF94" s="41" t="s">
        <v>14</v>
      </c>
      <c r="AG94" s="42" t="s">
        <v>11</v>
      </c>
      <c r="AH94" s="43" t="s">
        <v>8</v>
      </c>
      <c r="AI94" s="21"/>
    </row>
    <row r="95" spans="3:35" hidden="1" outlineLevel="1" x14ac:dyDescent="0.2">
      <c r="C95" s="21"/>
      <c r="D95" s="10" t="s">
        <v>76</v>
      </c>
      <c r="E95" s="10">
        <v>9</v>
      </c>
      <c r="F95" s="46">
        <v>9</v>
      </c>
      <c r="G95" s="25">
        <v>2</v>
      </c>
      <c r="H95" s="26">
        <v>2</v>
      </c>
      <c r="I95" s="25">
        <v>2</v>
      </c>
      <c r="J95" s="26">
        <v>2</v>
      </c>
      <c r="K95" s="25">
        <v>5</v>
      </c>
      <c r="L95" s="27">
        <v>5</v>
      </c>
      <c r="M95" s="25">
        <v>8</v>
      </c>
      <c r="N95" s="26">
        <v>8</v>
      </c>
      <c r="O95" s="25">
        <v>14</v>
      </c>
      <c r="P95" s="26">
        <v>16</v>
      </c>
      <c r="Q95" s="16">
        <f t="shared" ref="Q95:Q104" si="113">E95+F95</f>
        <v>18</v>
      </c>
      <c r="R95" s="27">
        <f t="shared" ref="R95:R104" si="114">G95+H95</f>
        <v>4</v>
      </c>
      <c r="S95" s="27">
        <f t="shared" ref="S95:S104" si="115">I95+J95</f>
        <v>4</v>
      </c>
      <c r="T95" s="27">
        <f t="shared" ref="T95:T104" si="116">K95+L95</f>
        <v>10</v>
      </c>
      <c r="U95" s="25">
        <f t="shared" ref="U95:U104" si="117">M95+N95</f>
        <v>16</v>
      </c>
      <c r="V95" s="27">
        <f t="shared" ref="V95:V104" si="118">O95+P95</f>
        <v>30</v>
      </c>
      <c r="W95" s="27">
        <f t="shared" ref="W95:W104" si="119">U95-V95</f>
        <v>-14</v>
      </c>
      <c r="X95" s="17">
        <f t="shared" ref="X95:X104" si="120">M95/E95</f>
        <v>0.88888888888888884</v>
      </c>
      <c r="Y95" s="17">
        <f t="shared" ref="Y95:Y104" si="121">N95/F95</f>
        <v>0.88888888888888884</v>
      </c>
      <c r="Z95" s="18">
        <f t="shared" ref="Z95:Z104" si="122">O95/E95</f>
        <v>1.5555555555555556</v>
      </c>
      <c r="AA95" s="19">
        <f t="shared" ref="AA95:AA104" si="123">P95/F95</f>
        <v>1.7777777777777777</v>
      </c>
      <c r="AB95" s="17">
        <f t="shared" ref="AB95:AB104" si="124">X95/$X$105</f>
        <v>0.64516129032258063</v>
      </c>
      <c r="AC95" s="17">
        <f t="shared" ref="AC95:AC104" si="125">Y95/$Y$105</f>
        <v>0.65040650406504064</v>
      </c>
      <c r="AD95" s="17">
        <f t="shared" ref="AD95:AD104" si="126">AVERAGE(AB95,AC95)</f>
        <v>0.64778389719381058</v>
      </c>
      <c r="AE95" s="18">
        <f t="shared" ref="AE95:AE104" si="127">Z95/$Z$105</f>
        <v>1.1382113821138211</v>
      </c>
      <c r="AF95" s="17">
        <f t="shared" ref="AF95:AF104" si="128">AA95/$AA$105</f>
        <v>1.2903225806451613</v>
      </c>
      <c r="AG95" s="19">
        <f t="shared" ref="AG95:AG104" si="129">AVERAGE(AE95,AF95)</f>
        <v>1.2142669813794913</v>
      </c>
      <c r="AH95" s="34">
        <f t="shared" ref="AH95:AH104" si="130">(R95*3)+(S95*1)</f>
        <v>16</v>
      </c>
      <c r="AI95" s="21"/>
    </row>
    <row r="96" spans="3:35" s="128" customFormat="1" hidden="1" outlineLevel="1" x14ac:dyDescent="0.2">
      <c r="C96" s="104"/>
      <c r="D96" s="132" t="s">
        <v>83</v>
      </c>
      <c r="E96" s="132">
        <v>9</v>
      </c>
      <c r="F96" s="104">
        <v>9</v>
      </c>
      <c r="G96" s="133">
        <v>6</v>
      </c>
      <c r="H96" s="134">
        <v>7</v>
      </c>
      <c r="I96" s="133">
        <v>1</v>
      </c>
      <c r="J96" s="134">
        <v>0</v>
      </c>
      <c r="K96" s="133">
        <v>2</v>
      </c>
      <c r="L96" s="135">
        <v>2</v>
      </c>
      <c r="M96" s="133">
        <v>15</v>
      </c>
      <c r="N96" s="134">
        <v>20</v>
      </c>
      <c r="O96" s="133">
        <v>6</v>
      </c>
      <c r="P96" s="134">
        <v>10</v>
      </c>
      <c r="Q96" s="136">
        <f t="shared" si="113"/>
        <v>18</v>
      </c>
      <c r="R96" s="135">
        <f t="shared" si="114"/>
        <v>13</v>
      </c>
      <c r="S96" s="135">
        <f t="shared" si="115"/>
        <v>1</v>
      </c>
      <c r="T96" s="135">
        <f t="shared" si="116"/>
        <v>4</v>
      </c>
      <c r="U96" s="133">
        <f t="shared" si="117"/>
        <v>35</v>
      </c>
      <c r="V96" s="135">
        <f t="shared" si="118"/>
        <v>16</v>
      </c>
      <c r="W96" s="135">
        <f t="shared" si="119"/>
        <v>19</v>
      </c>
      <c r="X96" s="105">
        <f t="shared" si="120"/>
        <v>1.6666666666666667</v>
      </c>
      <c r="Y96" s="105">
        <f t="shared" si="121"/>
        <v>2.2222222222222223</v>
      </c>
      <c r="Z96" s="137">
        <f t="shared" si="122"/>
        <v>0.66666666666666663</v>
      </c>
      <c r="AA96" s="138">
        <f t="shared" si="123"/>
        <v>1.1111111111111112</v>
      </c>
      <c r="AB96" s="105">
        <f t="shared" si="124"/>
        <v>1.2096774193548387</v>
      </c>
      <c r="AC96" s="105">
        <f t="shared" si="125"/>
        <v>1.6260162601626016</v>
      </c>
      <c r="AD96" s="105">
        <f t="shared" si="126"/>
        <v>1.4178468397587203</v>
      </c>
      <c r="AE96" s="137">
        <f t="shared" si="127"/>
        <v>0.48780487804878048</v>
      </c>
      <c r="AF96" s="105">
        <f t="shared" si="128"/>
        <v>0.80645161290322587</v>
      </c>
      <c r="AG96" s="138">
        <f t="shared" si="129"/>
        <v>0.64712824547600323</v>
      </c>
      <c r="AH96" s="139">
        <f t="shared" si="130"/>
        <v>40</v>
      </c>
      <c r="AI96" s="104"/>
    </row>
    <row r="97" spans="3:35" hidden="1" outlineLevel="1" x14ac:dyDescent="0.2">
      <c r="C97" s="21"/>
      <c r="D97" s="2" t="s">
        <v>84</v>
      </c>
      <c r="E97" s="2">
        <v>9</v>
      </c>
      <c r="F97" s="21">
        <v>9</v>
      </c>
      <c r="G97" s="28">
        <v>4</v>
      </c>
      <c r="H97" s="47">
        <v>5</v>
      </c>
      <c r="I97" s="28">
        <v>3</v>
      </c>
      <c r="J97" s="47">
        <v>2</v>
      </c>
      <c r="K97" s="28">
        <v>2</v>
      </c>
      <c r="L97" s="29">
        <v>2</v>
      </c>
      <c r="M97" s="28">
        <v>15</v>
      </c>
      <c r="N97" s="47">
        <v>9</v>
      </c>
      <c r="O97" s="28">
        <v>12</v>
      </c>
      <c r="P97" s="47">
        <v>7</v>
      </c>
      <c r="Q97" s="3">
        <f t="shared" si="113"/>
        <v>18</v>
      </c>
      <c r="R97" s="29">
        <f t="shared" si="114"/>
        <v>9</v>
      </c>
      <c r="S97" s="29">
        <f t="shared" si="115"/>
        <v>5</v>
      </c>
      <c r="T97" s="29">
        <f t="shared" si="116"/>
        <v>4</v>
      </c>
      <c r="U97" s="28">
        <f t="shared" si="117"/>
        <v>24</v>
      </c>
      <c r="V97" s="29">
        <f t="shared" si="118"/>
        <v>19</v>
      </c>
      <c r="W97" s="29">
        <f t="shared" si="119"/>
        <v>5</v>
      </c>
      <c r="X97" s="15">
        <f t="shared" si="120"/>
        <v>1.6666666666666667</v>
      </c>
      <c r="Y97" s="15">
        <f t="shared" si="121"/>
        <v>1</v>
      </c>
      <c r="Z97" s="4">
        <f t="shared" si="122"/>
        <v>1.3333333333333333</v>
      </c>
      <c r="AA97" s="5">
        <f t="shared" si="123"/>
        <v>0.77777777777777779</v>
      </c>
      <c r="AB97" s="15">
        <f t="shared" si="124"/>
        <v>1.2096774193548387</v>
      </c>
      <c r="AC97" s="15">
        <f t="shared" si="125"/>
        <v>0.73170731707317072</v>
      </c>
      <c r="AD97" s="15">
        <f t="shared" si="126"/>
        <v>0.97069236821400473</v>
      </c>
      <c r="AE97" s="4">
        <f t="shared" si="127"/>
        <v>0.97560975609756095</v>
      </c>
      <c r="AF97" s="15">
        <f t="shared" si="128"/>
        <v>0.56451612903225812</v>
      </c>
      <c r="AG97" s="5">
        <f t="shared" si="129"/>
        <v>0.77006294256490948</v>
      </c>
      <c r="AH97" s="34">
        <f t="shared" si="130"/>
        <v>32</v>
      </c>
      <c r="AI97" s="21"/>
    </row>
    <row r="98" spans="3:35" hidden="1" outlineLevel="1" x14ac:dyDescent="0.2">
      <c r="C98" s="21"/>
      <c r="D98" s="2" t="s">
        <v>80</v>
      </c>
      <c r="E98" s="2">
        <v>9</v>
      </c>
      <c r="F98" s="21">
        <v>9</v>
      </c>
      <c r="G98" s="28">
        <v>4</v>
      </c>
      <c r="H98" s="47">
        <v>5</v>
      </c>
      <c r="I98" s="28">
        <v>2</v>
      </c>
      <c r="J98" s="47">
        <v>1</v>
      </c>
      <c r="K98" s="28">
        <v>3</v>
      </c>
      <c r="L98" s="29">
        <v>3</v>
      </c>
      <c r="M98" s="28">
        <v>22</v>
      </c>
      <c r="N98" s="47">
        <v>20</v>
      </c>
      <c r="O98" s="28">
        <v>17</v>
      </c>
      <c r="P98" s="47">
        <v>11</v>
      </c>
      <c r="Q98" s="3">
        <f t="shared" si="113"/>
        <v>18</v>
      </c>
      <c r="R98" s="29">
        <f t="shared" si="114"/>
        <v>9</v>
      </c>
      <c r="S98" s="29">
        <f t="shared" si="115"/>
        <v>3</v>
      </c>
      <c r="T98" s="29">
        <f t="shared" si="116"/>
        <v>6</v>
      </c>
      <c r="U98" s="28">
        <f t="shared" si="117"/>
        <v>42</v>
      </c>
      <c r="V98" s="29">
        <f t="shared" si="118"/>
        <v>28</v>
      </c>
      <c r="W98" s="29">
        <f t="shared" si="119"/>
        <v>14</v>
      </c>
      <c r="X98" s="15">
        <f t="shared" si="120"/>
        <v>2.4444444444444446</v>
      </c>
      <c r="Y98" s="15">
        <f t="shared" si="121"/>
        <v>2.2222222222222223</v>
      </c>
      <c r="Z98" s="4">
        <f t="shared" si="122"/>
        <v>1.8888888888888888</v>
      </c>
      <c r="AA98" s="5">
        <f t="shared" si="123"/>
        <v>1.2222222222222223</v>
      </c>
      <c r="AB98" s="15">
        <f t="shared" si="124"/>
        <v>1.774193548387097</v>
      </c>
      <c r="AC98" s="15">
        <f t="shared" si="125"/>
        <v>1.6260162601626016</v>
      </c>
      <c r="AD98" s="15">
        <f t="shared" si="126"/>
        <v>1.7001049042748493</v>
      </c>
      <c r="AE98" s="4">
        <f t="shared" si="127"/>
        <v>1.3821138211382114</v>
      </c>
      <c r="AF98" s="15">
        <f t="shared" si="128"/>
        <v>0.88709677419354849</v>
      </c>
      <c r="AG98" s="5">
        <f t="shared" si="129"/>
        <v>1.13460529766588</v>
      </c>
      <c r="AH98" s="34">
        <f t="shared" si="130"/>
        <v>30</v>
      </c>
      <c r="AI98" s="21"/>
    </row>
    <row r="99" spans="3:35" hidden="1" outlineLevel="1" x14ac:dyDescent="0.2">
      <c r="C99" s="21"/>
      <c r="D99" s="2" t="s">
        <v>85</v>
      </c>
      <c r="E99" s="2">
        <v>9</v>
      </c>
      <c r="F99" s="21">
        <v>9</v>
      </c>
      <c r="G99" s="28">
        <v>4</v>
      </c>
      <c r="H99" s="47">
        <v>5</v>
      </c>
      <c r="I99" s="28">
        <v>0</v>
      </c>
      <c r="J99" s="47">
        <v>3</v>
      </c>
      <c r="K99" s="28">
        <v>5</v>
      </c>
      <c r="L99" s="29">
        <v>1</v>
      </c>
      <c r="M99" s="28">
        <v>16</v>
      </c>
      <c r="N99" s="47">
        <v>14</v>
      </c>
      <c r="O99" s="28">
        <v>15</v>
      </c>
      <c r="P99" s="47">
        <v>6</v>
      </c>
      <c r="Q99" s="3">
        <f t="shared" si="113"/>
        <v>18</v>
      </c>
      <c r="R99" s="29">
        <f t="shared" si="114"/>
        <v>9</v>
      </c>
      <c r="S99" s="29">
        <f t="shared" si="115"/>
        <v>3</v>
      </c>
      <c r="T99" s="29">
        <f t="shared" si="116"/>
        <v>6</v>
      </c>
      <c r="U99" s="28">
        <f t="shared" si="117"/>
        <v>30</v>
      </c>
      <c r="V99" s="29">
        <f t="shared" si="118"/>
        <v>21</v>
      </c>
      <c r="W99" s="29">
        <f t="shared" si="119"/>
        <v>9</v>
      </c>
      <c r="X99" s="15">
        <f t="shared" si="120"/>
        <v>1.7777777777777777</v>
      </c>
      <c r="Y99" s="15">
        <f t="shared" si="121"/>
        <v>1.5555555555555556</v>
      </c>
      <c r="Z99" s="4">
        <f t="shared" si="122"/>
        <v>1.6666666666666667</v>
      </c>
      <c r="AA99" s="5">
        <f t="shared" si="123"/>
        <v>0.66666666666666663</v>
      </c>
      <c r="AB99" s="15">
        <f t="shared" si="124"/>
        <v>1.2903225806451613</v>
      </c>
      <c r="AC99" s="15">
        <f t="shared" si="125"/>
        <v>1.1382113821138211</v>
      </c>
      <c r="AD99" s="15">
        <f t="shared" si="126"/>
        <v>1.2142669813794913</v>
      </c>
      <c r="AE99" s="4">
        <f t="shared" si="127"/>
        <v>1.2195121951219512</v>
      </c>
      <c r="AF99" s="15">
        <f t="shared" si="128"/>
        <v>0.48387096774193544</v>
      </c>
      <c r="AG99" s="5">
        <f t="shared" si="129"/>
        <v>0.85169158143194335</v>
      </c>
      <c r="AH99" s="34">
        <f t="shared" si="130"/>
        <v>30</v>
      </c>
      <c r="AI99" s="21"/>
    </row>
    <row r="100" spans="3:35" hidden="1" outlineLevel="1" x14ac:dyDescent="0.2">
      <c r="C100" s="21"/>
      <c r="D100" s="2" t="s">
        <v>82</v>
      </c>
      <c r="E100" s="2">
        <v>9</v>
      </c>
      <c r="F100" s="21">
        <v>9</v>
      </c>
      <c r="G100" s="28">
        <v>3</v>
      </c>
      <c r="H100" s="47">
        <v>4</v>
      </c>
      <c r="I100" s="28">
        <v>2</v>
      </c>
      <c r="J100" s="47">
        <v>3</v>
      </c>
      <c r="K100" s="28">
        <v>4</v>
      </c>
      <c r="L100" s="29">
        <v>2</v>
      </c>
      <c r="M100" s="28">
        <v>8</v>
      </c>
      <c r="N100" s="47">
        <v>8</v>
      </c>
      <c r="O100" s="28">
        <v>12</v>
      </c>
      <c r="P100" s="47">
        <v>6</v>
      </c>
      <c r="Q100" s="3">
        <f t="shared" si="113"/>
        <v>18</v>
      </c>
      <c r="R100" s="29">
        <f t="shared" si="114"/>
        <v>7</v>
      </c>
      <c r="S100" s="29">
        <f t="shared" si="115"/>
        <v>5</v>
      </c>
      <c r="T100" s="29">
        <f t="shared" si="116"/>
        <v>6</v>
      </c>
      <c r="U100" s="28">
        <f t="shared" si="117"/>
        <v>16</v>
      </c>
      <c r="V100" s="29">
        <f t="shared" si="118"/>
        <v>18</v>
      </c>
      <c r="W100" s="29">
        <f t="shared" si="119"/>
        <v>-2</v>
      </c>
      <c r="X100" s="15">
        <f t="shared" si="120"/>
        <v>0.88888888888888884</v>
      </c>
      <c r="Y100" s="15">
        <f t="shared" si="121"/>
        <v>0.88888888888888884</v>
      </c>
      <c r="Z100" s="4">
        <f t="shared" si="122"/>
        <v>1.3333333333333333</v>
      </c>
      <c r="AA100" s="5">
        <f t="shared" si="123"/>
        <v>0.66666666666666663</v>
      </c>
      <c r="AB100" s="15">
        <f t="shared" si="124"/>
        <v>0.64516129032258063</v>
      </c>
      <c r="AC100" s="15">
        <f t="shared" si="125"/>
        <v>0.65040650406504064</v>
      </c>
      <c r="AD100" s="15">
        <f t="shared" si="126"/>
        <v>0.64778389719381058</v>
      </c>
      <c r="AE100" s="4">
        <f t="shared" si="127"/>
        <v>0.97560975609756095</v>
      </c>
      <c r="AF100" s="15">
        <f t="shared" si="128"/>
        <v>0.48387096774193544</v>
      </c>
      <c r="AG100" s="5">
        <f t="shared" si="129"/>
        <v>0.72974036191974823</v>
      </c>
      <c r="AH100" s="34">
        <f t="shared" si="130"/>
        <v>26</v>
      </c>
      <c r="AI100" s="21"/>
    </row>
    <row r="101" spans="3:35" hidden="1" outlineLevel="1" x14ac:dyDescent="0.2">
      <c r="C101" s="21"/>
      <c r="D101" s="2" t="s">
        <v>78</v>
      </c>
      <c r="E101" s="2">
        <v>9</v>
      </c>
      <c r="F101" s="21">
        <v>9</v>
      </c>
      <c r="G101" s="28">
        <v>2</v>
      </c>
      <c r="H101" s="47">
        <v>4</v>
      </c>
      <c r="I101" s="28">
        <v>5</v>
      </c>
      <c r="J101" s="47">
        <v>2</v>
      </c>
      <c r="K101" s="28">
        <v>2</v>
      </c>
      <c r="L101" s="29">
        <v>3</v>
      </c>
      <c r="M101" s="28">
        <v>7</v>
      </c>
      <c r="N101" s="47">
        <v>13</v>
      </c>
      <c r="O101" s="28">
        <v>8</v>
      </c>
      <c r="P101" s="47">
        <v>14</v>
      </c>
      <c r="Q101" s="3">
        <f t="shared" si="113"/>
        <v>18</v>
      </c>
      <c r="R101" s="29">
        <f t="shared" si="114"/>
        <v>6</v>
      </c>
      <c r="S101" s="29">
        <f t="shared" si="115"/>
        <v>7</v>
      </c>
      <c r="T101" s="29">
        <f t="shared" si="116"/>
        <v>5</v>
      </c>
      <c r="U101" s="28">
        <f t="shared" si="117"/>
        <v>20</v>
      </c>
      <c r="V101" s="29">
        <f t="shared" si="118"/>
        <v>22</v>
      </c>
      <c r="W101" s="29">
        <f t="shared" si="119"/>
        <v>-2</v>
      </c>
      <c r="X101" s="15">
        <f t="shared" si="120"/>
        <v>0.77777777777777779</v>
      </c>
      <c r="Y101" s="15">
        <f t="shared" si="121"/>
        <v>1.4444444444444444</v>
      </c>
      <c r="Z101" s="4">
        <f t="shared" si="122"/>
        <v>0.88888888888888884</v>
      </c>
      <c r="AA101" s="5">
        <f t="shared" si="123"/>
        <v>1.5555555555555556</v>
      </c>
      <c r="AB101" s="15">
        <f t="shared" si="124"/>
        <v>0.56451612903225812</v>
      </c>
      <c r="AC101" s="15">
        <f t="shared" si="125"/>
        <v>1.056910569105691</v>
      </c>
      <c r="AD101" s="15">
        <f t="shared" si="126"/>
        <v>0.81071334906897463</v>
      </c>
      <c r="AE101" s="4">
        <f t="shared" si="127"/>
        <v>0.65040650406504064</v>
      </c>
      <c r="AF101" s="15">
        <f t="shared" si="128"/>
        <v>1.1290322580645162</v>
      </c>
      <c r="AG101" s="5">
        <f t="shared" si="129"/>
        <v>0.88971938106477844</v>
      </c>
      <c r="AH101" s="34">
        <f t="shared" si="130"/>
        <v>25</v>
      </c>
      <c r="AI101" s="21"/>
    </row>
    <row r="102" spans="3:35" hidden="1" outlineLevel="1" x14ac:dyDescent="0.2">
      <c r="C102" s="21"/>
      <c r="D102" s="2" t="s">
        <v>86</v>
      </c>
      <c r="E102" s="2">
        <v>9</v>
      </c>
      <c r="F102" s="21">
        <v>9</v>
      </c>
      <c r="G102" s="28">
        <v>4</v>
      </c>
      <c r="H102" s="47">
        <v>3</v>
      </c>
      <c r="I102" s="28">
        <v>0</v>
      </c>
      <c r="J102" s="47">
        <v>2</v>
      </c>
      <c r="K102" s="28">
        <v>5</v>
      </c>
      <c r="L102" s="29">
        <v>4</v>
      </c>
      <c r="M102" s="28">
        <v>12</v>
      </c>
      <c r="N102" s="47">
        <v>13</v>
      </c>
      <c r="O102" s="28">
        <v>12</v>
      </c>
      <c r="P102" s="47">
        <v>17</v>
      </c>
      <c r="Q102" s="3">
        <f t="shared" si="113"/>
        <v>18</v>
      </c>
      <c r="R102" s="29">
        <f t="shared" si="114"/>
        <v>7</v>
      </c>
      <c r="S102" s="29">
        <f t="shared" si="115"/>
        <v>2</v>
      </c>
      <c r="T102" s="29">
        <f t="shared" si="116"/>
        <v>9</v>
      </c>
      <c r="U102" s="28">
        <f t="shared" si="117"/>
        <v>25</v>
      </c>
      <c r="V102" s="29">
        <f t="shared" si="118"/>
        <v>29</v>
      </c>
      <c r="W102" s="29">
        <f t="shared" si="119"/>
        <v>-4</v>
      </c>
      <c r="X102" s="15">
        <f t="shared" si="120"/>
        <v>1.3333333333333333</v>
      </c>
      <c r="Y102" s="15">
        <f t="shared" si="121"/>
        <v>1.4444444444444444</v>
      </c>
      <c r="Z102" s="4">
        <f t="shared" si="122"/>
        <v>1.3333333333333333</v>
      </c>
      <c r="AA102" s="5">
        <f t="shared" si="123"/>
        <v>1.8888888888888888</v>
      </c>
      <c r="AB102" s="15">
        <f t="shared" si="124"/>
        <v>0.96774193548387089</v>
      </c>
      <c r="AC102" s="15">
        <f t="shared" si="125"/>
        <v>1.056910569105691</v>
      </c>
      <c r="AD102" s="15">
        <f t="shared" si="126"/>
        <v>1.0123262522947809</v>
      </c>
      <c r="AE102" s="4">
        <f t="shared" si="127"/>
        <v>0.97560975609756095</v>
      </c>
      <c r="AF102" s="15">
        <f t="shared" si="128"/>
        <v>1.3709677419354838</v>
      </c>
      <c r="AG102" s="5">
        <f t="shared" si="129"/>
        <v>1.1732887490165225</v>
      </c>
      <c r="AH102" s="34">
        <f t="shared" si="130"/>
        <v>23</v>
      </c>
      <c r="AI102" s="21"/>
    </row>
    <row r="103" spans="3:35" hidden="1" outlineLevel="1" x14ac:dyDescent="0.2">
      <c r="C103" s="21"/>
      <c r="D103" s="2" t="s">
        <v>79</v>
      </c>
      <c r="E103" s="2">
        <v>9</v>
      </c>
      <c r="F103" s="50">
        <v>9</v>
      </c>
      <c r="G103" s="28">
        <v>2</v>
      </c>
      <c r="H103" s="74">
        <v>1</v>
      </c>
      <c r="I103" s="28">
        <v>1</v>
      </c>
      <c r="J103" s="74">
        <v>1</v>
      </c>
      <c r="K103" s="28">
        <v>6</v>
      </c>
      <c r="L103" s="29">
        <v>7</v>
      </c>
      <c r="M103" s="28">
        <v>5</v>
      </c>
      <c r="N103" s="74">
        <v>7</v>
      </c>
      <c r="O103" s="28">
        <v>9</v>
      </c>
      <c r="P103" s="74">
        <v>18</v>
      </c>
      <c r="Q103" s="3">
        <f t="shared" si="113"/>
        <v>18</v>
      </c>
      <c r="R103" s="29">
        <f t="shared" si="114"/>
        <v>3</v>
      </c>
      <c r="S103" s="29">
        <f t="shared" si="115"/>
        <v>2</v>
      </c>
      <c r="T103" s="29">
        <f t="shared" si="116"/>
        <v>13</v>
      </c>
      <c r="U103" s="28">
        <f t="shared" si="117"/>
        <v>12</v>
      </c>
      <c r="V103" s="29">
        <f t="shared" si="118"/>
        <v>27</v>
      </c>
      <c r="W103" s="29">
        <f t="shared" si="119"/>
        <v>-15</v>
      </c>
      <c r="X103" s="51">
        <f t="shared" si="120"/>
        <v>0.55555555555555558</v>
      </c>
      <c r="Y103" s="51">
        <f t="shared" si="121"/>
        <v>0.77777777777777779</v>
      </c>
      <c r="Z103" s="4">
        <f t="shared" si="122"/>
        <v>1</v>
      </c>
      <c r="AA103" s="5">
        <f t="shared" si="123"/>
        <v>2</v>
      </c>
      <c r="AB103" s="51">
        <f t="shared" si="124"/>
        <v>0.40322580645161293</v>
      </c>
      <c r="AC103" s="51">
        <f t="shared" si="125"/>
        <v>0.56910569105691056</v>
      </c>
      <c r="AD103" s="51">
        <f t="shared" si="126"/>
        <v>0.48616574875426177</v>
      </c>
      <c r="AE103" s="4">
        <f t="shared" si="127"/>
        <v>0.73170731707317072</v>
      </c>
      <c r="AF103" s="51">
        <f t="shared" si="128"/>
        <v>1.4516129032258065</v>
      </c>
      <c r="AG103" s="5">
        <f t="shared" si="129"/>
        <v>1.0916601101494887</v>
      </c>
      <c r="AH103" s="34">
        <f t="shared" si="130"/>
        <v>11</v>
      </c>
      <c r="AI103" s="21"/>
    </row>
    <row r="104" spans="3:35" ht="17" hidden="1" outlineLevel="1" thickBot="1" x14ac:dyDescent="0.25">
      <c r="C104" s="1"/>
      <c r="D104" s="33" t="s">
        <v>81</v>
      </c>
      <c r="E104" s="33">
        <v>9</v>
      </c>
      <c r="F104" s="1">
        <v>9</v>
      </c>
      <c r="G104" s="30">
        <v>3</v>
      </c>
      <c r="H104" s="31">
        <v>2</v>
      </c>
      <c r="I104" s="30">
        <v>2</v>
      </c>
      <c r="J104" s="31">
        <v>2</v>
      </c>
      <c r="K104" s="30">
        <v>4</v>
      </c>
      <c r="L104" s="32">
        <v>5</v>
      </c>
      <c r="M104" s="30">
        <v>16</v>
      </c>
      <c r="N104" s="31">
        <v>11</v>
      </c>
      <c r="O104" s="30">
        <v>18</v>
      </c>
      <c r="P104" s="31">
        <v>19</v>
      </c>
      <c r="Q104" s="6">
        <f t="shared" si="113"/>
        <v>18</v>
      </c>
      <c r="R104" s="32">
        <f t="shared" si="114"/>
        <v>5</v>
      </c>
      <c r="S104" s="32">
        <f t="shared" si="115"/>
        <v>4</v>
      </c>
      <c r="T104" s="32">
        <f t="shared" si="116"/>
        <v>9</v>
      </c>
      <c r="U104" s="30">
        <f t="shared" si="117"/>
        <v>27</v>
      </c>
      <c r="V104" s="32">
        <f t="shared" si="118"/>
        <v>37</v>
      </c>
      <c r="W104" s="32">
        <f t="shared" si="119"/>
        <v>-10</v>
      </c>
      <c r="X104" s="8">
        <f t="shared" si="120"/>
        <v>1.7777777777777777</v>
      </c>
      <c r="Y104" s="8">
        <f t="shared" si="121"/>
        <v>1.2222222222222223</v>
      </c>
      <c r="Z104" s="7">
        <f t="shared" si="122"/>
        <v>2</v>
      </c>
      <c r="AA104" s="9">
        <f t="shared" si="123"/>
        <v>2.1111111111111112</v>
      </c>
      <c r="AB104" s="8">
        <f t="shared" si="124"/>
        <v>1.2903225806451613</v>
      </c>
      <c r="AC104" s="8">
        <f t="shared" si="125"/>
        <v>0.89430894308943099</v>
      </c>
      <c r="AD104" s="8">
        <f t="shared" si="126"/>
        <v>1.0923157618672961</v>
      </c>
      <c r="AE104" s="7">
        <f t="shared" si="127"/>
        <v>1.4634146341463414</v>
      </c>
      <c r="AF104" s="8">
        <f t="shared" si="128"/>
        <v>1.532258064516129</v>
      </c>
      <c r="AG104" s="9">
        <f t="shared" si="129"/>
        <v>1.4978363493312352</v>
      </c>
      <c r="AH104" s="36">
        <f t="shared" si="130"/>
        <v>19</v>
      </c>
      <c r="AI104" s="1"/>
    </row>
    <row r="105" spans="3:35" hidden="1" outlineLevel="1" x14ac:dyDescent="0.2">
      <c r="C105" s="21"/>
      <c r="D105" s="22" t="s">
        <v>1</v>
      </c>
      <c r="E105" s="22"/>
      <c r="F105" s="23"/>
      <c r="G105" s="22"/>
      <c r="H105" s="23"/>
      <c r="I105" s="22"/>
      <c r="J105" s="23"/>
      <c r="K105" s="22"/>
      <c r="L105" s="24"/>
      <c r="M105" s="22">
        <f>SUM(M95:M104)</f>
        <v>124</v>
      </c>
      <c r="N105" s="23">
        <f>SUM(N95:N104)</f>
        <v>123</v>
      </c>
      <c r="O105" s="22">
        <f>SUM(O95:O104)</f>
        <v>123</v>
      </c>
      <c r="P105" s="23">
        <f>SUM(P95:P104)</f>
        <v>124</v>
      </c>
      <c r="Q105" s="11">
        <f>SUM(Q95:Q104)/2</f>
        <v>90</v>
      </c>
      <c r="R105" s="24">
        <f>SUM(R95:R104)/2</f>
        <v>36</v>
      </c>
      <c r="S105" s="24">
        <f>SUM(S95:S104)/2</f>
        <v>18</v>
      </c>
      <c r="T105" s="24">
        <f>SUM(T95:T104)/2</f>
        <v>36</v>
      </c>
      <c r="U105" s="22">
        <f>SUM(U95:U104)</f>
        <v>247</v>
      </c>
      <c r="V105" s="24">
        <f>SUM(V95:V104)</f>
        <v>247</v>
      </c>
      <c r="W105" s="24"/>
      <c r="X105" s="12">
        <f>AVERAGE(X95:X104)</f>
        <v>1.3777777777777778</v>
      </c>
      <c r="Y105" s="12">
        <f>AVERAGE(Y95:Y104)</f>
        <v>1.3666666666666667</v>
      </c>
      <c r="Z105" s="13">
        <f>AVERAGE(Z95:Z104)</f>
        <v>1.3666666666666667</v>
      </c>
      <c r="AA105" s="14">
        <f>AVERAGE(AA95:AA104)</f>
        <v>1.3777777777777778</v>
      </c>
      <c r="AB105" s="12"/>
      <c r="AC105" s="12"/>
      <c r="AD105" s="12"/>
      <c r="AE105" s="13"/>
      <c r="AF105" s="12"/>
      <c r="AG105" s="14"/>
      <c r="AH105" s="35"/>
      <c r="AI105" s="21"/>
    </row>
    <row r="106" spans="3:35" collapsed="1" x14ac:dyDescent="0.2"/>
    <row r="107" spans="3:35" collapsed="1" x14ac:dyDescent="0.2"/>
  </sheetData>
  <sortState xmlns:xlrd2="http://schemas.microsoft.com/office/spreadsheetml/2017/richdata2" ref="D5:AH15">
    <sortCondition ref="D4"/>
  </sortState>
  <mergeCells count="66">
    <mergeCell ref="AB22:AD22"/>
    <mergeCell ref="AE22:AG22"/>
    <mergeCell ref="K22:L22"/>
    <mergeCell ref="M22:N22"/>
    <mergeCell ref="O22:P22"/>
    <mergeCell ref="X22:Y22"/>
    <mergeCell ref="Z22:AA22"/>
    <mergeCell ref="O40:P40"/>
    <mergeCell ref="X40:Y40"/>
    <mergeCell ref="Z40:AA40"/>
    <mergeCell ref="AB40:AD40"/>
    <mergeCell ref="AE40:AG40"/>
    <mergeCell ref="E40:F40"/>
    <mergeCell ref="G40:H40"/>
    <mergeCell ref="I40:J40"/>
    <mergeCell ref="K40:L40"/>
    <mergeCell ref="M40:N40"/>
    <mergeCell ref="X39:AG39"/>
    <mergeCell ref="X2:AG2"/>
    <mergeCell ref="E3:F3"/>
    <mergeCell ref="G3:H3"/>
    <mergeCell ref="I3:J3"/>
    <mergeCell ref="K3:L3"/>
    <mergeCell ref="M3:N3"/>
    <mergeCell ref="O3:P3"/>
    <mergeCell ref="X3:Y3"/>
    <mergeCell ref="Z3:AA3"/>
    <mergeCell ref="AB3:AD3"/>
    <mergeCell ref="AE3:AG3"/>
    <mergeCell ref="X21:AG21"/>
    <mergeCell ref="E22:F22"/>
    <mergeCell ref="G22:H22"/>
    <mergeCell ref="I22:J22"/>
    <mergeCell ref="X58:AG58"/>
    <mergeCell ref="E59:F59"/>
    <mergeCell ref="G59:H59"/>
    <mergeCell ref="I59:J59"/>
    <mergeCell ref="K59:L59"/>
    <mergeCell ref="M59:N59"/>
    <mergeCell ref="O59:P59"/>
    <mergeCell ref="X59:Y59"/>
    <mergeCell ref="Z59:AA59"/>
    <mergeCell ref="AB59:AD59"/>
    <mergeCell ref="AE59:AG59"/>
    <mergeCell ref="X75:AG75"/>
    <mergeCell ref="E76:F76"/>
    <mergeCell ref="G76:H76"/>
    <mergeCell ref="I76:J76"/>
    <mergeCell ref="K76:L76"/>
    <mergeCell ref="M76:N76"/>
    <mergeCell ref="O76:P76"/>
    <mergeCell ref="X76:Y76"/>
    <mergeCell ref="Z76:AA76"/>
    <mergeCell ref="AB76:AD76"/>
    <mergeCell ref="AE76:AG76"/>
    <mergeCell ref="E93:F93"/>
    <mergeCell ref="G93:H93"/>
    <mergeCell ref="I93:J93"/>
    <mergeCell ref="K93:L93"/>
    <mergeCell ref="M93:N93"/>
    <mergeCell ref="X92:AG92"/>
    <mergeCell ref="O93:P93"/>
    <mergeCell ref="X93:Y93"/>
    <mergeCell ref="Z93:AA93"/>
    <mergeCell ref="AB93:AD93"/>
    <mergeCell ref="AE93:AG93"/>
  </mergeCells>
  <conditionalFormatting sqref="AB61:AB70">
    <cfRule type="colorScale" priority="73">
      <colorScale>
        <cfvo type="min"/>
        <cfvo type="percentile" val="50"/>
        <cfvo type="max"/>
        <color theme="0"/>
        <color theme="0"/>
        <color theme="4"/>
      </colorScale>
    </cfRule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61:AC70">
    <cfRule type="colorScale" priority="75">
      <colorScale>
        <cfvo type="min"/>
        <cfvo type="percentile" val="50"/>
        <cfvo type="max"/>
        <color theme="0"/>
        <color theme="0"/>
        <color theme="4"/>
      </colorScale>
    </cfRule>
    <cfRule type="colorScale" priority="7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61:AD70">
    <cfRule type="colorScale" priority="77">
      <colorScale>
        <cfvo type="min"/>
        <cfvo type="percentile" val="50"/>
        <cfvo type="max"/>
        <color theme="0"/>
        <color theme="0"/>
        <color theme="4"/>
      </colorScale>
    </cfRule>
    <cfRule type="colorScale" priority="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61:AE70">
    <cfRule type="colorScale" priority="79">
      <colorScale>
        <cfvo type="min"/>
        <cfvo type="percentile" val="50"/>
        <cfvo type="max"/>
        <color theme="4"/>
        <color theme="0"/>
        <color theme="0"/>
      </colorScale>
    </cfRule>
    <cfRule type="colorScale" priority="8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F61:AF70">
    <cfRule type="colorScale" priority="81">
      <colorScale>
        <cfvo type="min"/>
        <cfvo type="percentile" val="50"/>
        <cfvo type="max"/>
        <color theme="4"/>
        <color theme="0"/>
        <color theme="0"/>
      </colorScale>
    </cfRule>
    <cfRule type="colorScale" priority="8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G61:AG70">
    <cfRule type="colorScale" priority="83">
      <colorScale>
        <cfvo type="min"/>
        <cfvo type="percentile" val="50"/>
        <cfvo type="max"/>
        <color theme="4"/>
        <color theme="0"/>
        <color theme="0"/>
      </colorScale>
    </cfRule>
    <cfRule type="colorScale" priority="8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B78:AB87">
    <cfRule type="colorScale" priority="61">
      <colorScale>
        <cfvo type="min"/>
        <cfvo type="percentile" val="50"/>
        <cfvo type="max"/>
        <color theme="0"/>
        <color theme="0"/>
        <color theme="4"/>
      </colorScale>
    </cfRule>
    <cfRule type="colorScale" priority="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8:AC87">
    <cfRule type="colorScale" priority="63">
      <colorScale>
        <cfvo type="min"/>
        <cfvo type="percentile" val="50"/>
        <cfvo type="max"/>
        <color theme="0"/>
        <color theme="0"/>
        <color theme="4"/>
      </colorScale>
    </cfRule>
    <cfRule type="colorScale" priority="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78:AD87">
    <cfRule type="colorScale" priority="65">
      <colorScale>
        <cfvo type="min"/>
        <cfvo type="percentile" val="50"/>
        <cfvo type="max"/>
        <color theme="0"/>
        <color theme="0"/>
        <color theme="4"/>
      </colorScale>
    </cfRule>
    <cfRule type="colorScale" priority="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78:AE87">
    <cfRule type="colorScale" priority="67">
      <colorScale>
        <cfvo type="min"/>
        <cfvo type="percentile" val="50"/>
        <cfvo type="max"/>
        <color theme="4"/>
        <color theme="0"/>
        <color theme="0"/>
      </colorScale>
    </cfRule>
    <cfRule type="colorScale" priority="6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F78:AF87">
    <cfRule type="colorScale" priority="69">
      <colorScale>
        <cfvo type="min"/>
        <cfvo type="percentile" val="50"/>
        <cfvo type="max"/>
        <color theme="4"/>
        <color theme="0"/>
        <color theme="0"/>
      </colorScale>
    </cfRule>
    <cfRule type="colorScale" priority="7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G78:AG87">
    <cfRule type="colorScale" priority="71">
      <colorScale>
        <cfvo type="min"/>
        <cfvo type="percentile" val="50"/>
        <cfvo type="max"/>
        <color theme="4"/>
        <color theme="0"/>
        <color theme="0"/>
      </colorScale>
    </cfRule>
    <cfRule type="colorScale" priority="7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B95:AB104">
    <cfRule type="colorScale" priority="37">
      <colorScale>
        <cfvo type="min"/>
        <cfvo type="percentile" val="50"/>
        <cfvo type="max"/>
        <color theme="0"/>
        <color theme="0"/>
        <color theme="4"/>
      </colorScale>
    </cfRule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95:AC104">
    <cfRule type="colorScale" priority="39">
      <colorScale>
        <cfvo type="min"/>
        <cfvo type="percentile" val="50"/>
        <cfvo type="max"/>
        <color theme="0"/>
        <color theme="0"/>
        <color theme="4"/>
      </colorScale>
    </cfRule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95:AD104">
    <cfRule type="colorScale" priority="41">
      <colorScale>
        <cfvo type="min"/>
        <cfvo type="percentile" val="50"/>
        <cfvo type="max"/>
        <color theme="0"/>
        <color theme="0"/>
        <color theme="4"/>
      </colorScale>
    </cfRule>
    <cfRule type="colorScale" priority="4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95:AE104">
    <cfRule type="colorScale" priority="43">
      <colorScale>
        <cfvo type="min"/>
        <cfvo type="percentile" val="50"/>
        <cfvo type="max"/>
        <color theme="4"/>
        <color theme="0"/>
        <color theme="0"/>
      </colorScale>
    </cfRule>
    <cfRule type="colorScale" priority="4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F95:AF104">
    <cfRule type="colorScale" priority="45">
      <colorScale>
        <cfvo type="min"/>
        <cfvo type="percentile" val="50"/>
        <cfvo type="max"/>
        <color theme="4"/>
        <color theme="0"/>
        <color theme="0"/>
      </colorScale>
    </cfRule>
    <cfRule type="colorScale" priority="4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G95:AG104">
    <cfRule type="colorScale" priority="47">
      <colorScale>
        <cfvo type="min"/>
        <cfvo type="percentile" val="50"/>
        <cfvo type="max"/>
        <color theme="4"/>
        <color theme="0"/>
        <color theme="0"/>
      </colorScale>
    </cfRule>
    <cfRule type="colorScale" priority="4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B42:AB52">
    <cfRule type="colorScale" priority="25">
      <colorScale>
        <cfvo type="min"/>
        <cfvo type="percentile" val="50"/>
        <cfvo type="max"/>
        <color theme="0"/>
        <color theme="0"/>
        <color theme="4"/>
      </colorScale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42:AC52">
    <cfRule type="colorScale" priority="27">
      <colorScale>
        <cfvo type="min"/>
        <cfvo type="percentile" val="50"/>
        <cfvo type="max"/>
        <color theme="0"/>
        <color theme="0"/>
        <color theme="4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42:AD52">
    <cfRule type="colorScale" priority="29">
      <colorScale>
        <cfvo type="min"/>
        <cfvo type="percentile" val="50"/>
        <cfvo type="max"/>
        <color theme="0"/>
        <color theme="0"/>
        <color theme="4"/>
      </colorScale>
    </cfRule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42:AE52">
    <cfRule type="colorScale" priority="31">
      <colorScale>
        <cfvo type="min"/>
        <cfvo type="percentile" val="50"/>
        <cfvo type="max"/>
        <color theme="4"/>
        <color theme="0"/>
        <color theme="0"/>
      </colorScale>
    </cfRule>
    <cfRule type="colorScale" priority="3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F42:AF52">
    <cfRule type="colorScale" priority="33">
      <colorScale>
        <cfvo type="min"/>
        <cfvo type="percentile" val="50"/>
        <cfvo type="max"/>
        <color theme="4"/>
        <color theme="0"/>
        <color theme="0"/>
      </colorScale>
    </cfRule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G42:AG52">
    <cfRule type="colorScale" priority="35">
      <colorScale>
        <cfvo type="min"/>
        <cfvo type="percentile" val="50"/>
        <cfvo type="max"/>
        <color theme="4"/>
        <color theme="0"/>
        <color theme="0"/>
      </colorScale>
    </cfRule>
    <cfRule type="colorScale" priority="3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B5:AB15">
    <cfRule type="colorScale" priority="13">
      <colorScale>
        <cfvo type="min"/>
        <cfvo type="percentile" val="50"/>
        <cfvo type="max"/>
        <color theme="0"/>
        <color theme="0"/>
        <color theme="4"/>
      </colorScale>
    </cfRule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5:AC15">
    <cfRule type="colorScale" priority="15">
      <colorScale>
        <cfvo type="min"/>
        <cfvo type="percentile" val="50"/>
        <cfvo type="max"/>
        <color theme="0"/>
        <color theme="0"/>
        <color theme="4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5:AD15">
    <cfRule type="colorScale" priority="17">
      <colorScale>
        <cfvo type="min"/>
        <cfvo type="percentile" val="50"/>
        <cfvo type="max"/>
        <color theme="0"/>
        <color theme="0"/>
        <color theme="4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5:AE15">
    <cfRule type="colorScale" priority="19">
      <colorScale>
        <cfvo type="min"/>
        <cfvo type="percentile" val="50"/>
        <cfvo type="max"/>
        <color theme="4"/>
        <color theme="0"/>
        <color theme="0"/>
      </colorScale>
    </cfRule>
    <cfRule type="colorScale" priority="2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F5:AF15">
    <cfRule type="colorScale" priority="21">
      <colorScale>
        <cfvo type="min"/>
        <cfvo type="percentile" val="50"/>
        <cfvo type="max"/>
        <color theme="4"/>
        <color theme="0"/>
        <color theme="0"/>
      </colorScale>
    </cfRule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G5:AG15">
    <cfRule type="colorScale" priority="23">
      <colorScale>
        <cfvo type="min"/>
        <cfvo type="percentile" val="50"/>
        <cfvo type="max"/>
        <color theme="4"/>
        <color theme="0"/>
        <color theme="0"/>
      </colorScale>
    </cfRule>
    <cfRule type="colorScale" priority="2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B24:AB34">
    <cfRule type="colorScale" priority="1">
      <colorScale>
        <cfvo type="min"/>
        <cfvo type="percentile" val="50"/>
        <cfvo type="max"/>
        <color theme="0"/>
        <color theme="0"/>
        <color theme="4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4:AC34">
    <cfRule type="colorScale" priority="3">
      <colorScale>
        <cfvo type="min"/>
        <cfvo type="percentile" val="50"/>
        <cfvo type="max"/>
        <color theme="0"/>
        <color theme="0"/>
        <color theme="4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24:AD34">
    <cfRule type="colorScale" priority="5">
      <colorScale>
        <cfvo type="min"/>
        <cfvo type="percentile" val="50"/>
        <cfvo type="max"/>
        <color theme="0"/>
        <color theme="0"/>
        <color theme="4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E24:AE34">
    <cfRule type="colorScale" priority="7">
      <colorScale>
        <cfvo type="min"/>
        <cfvo type="percentile" val="50"/>
        <cfvo type="max"/>
        <color theme="4"/>
        <color theme="0"/>
        <color theme="0"/>
      </colorScale>
    </cfRule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F24:AF34">
    <cfRule type="colorScale" priority="9">
      <colorScale>
        <cfvo type="min"/>
        <cfvo type="percentile" val="50"/>
        <cfvo type="max"/>
        <color theme="4"/>
        <color theme="0"/>
        <color theme="0"/>
      </colorScale>
    </cfRule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G24:AG34">
    <cfRule type="colorScale" priority="11">
      <colorScale>
        <cfvo type="min"/>
        <cfvo type="percentile" val="50"/>
        <cfvo type="max"/>
        <color theme="4"/>
        <color theme="0"/>
        <color theme="0"/>
      </colorScale>
    </cfRule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0" verticalDpi="0"/>
  <ignoredErrors>
    <ignoredError sqref="AD5 AD6:AD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3B08-C9BB-274D-82E8-5692A9942356}">
  <sheetPr codeName="Sheet2"/>
  <dimension ref="A1:BJ112"/>
  <sheetViews>
    <sheetView zoomScaleNormal="100" workbookViewId="0">
      <selection activeCell="C98" sqref="C98"/>
    </sheetView>
  </sheetViews>
  <sheetFormatPr baseColWidth="10" defaultRowHeight="16" outlineLevelCol="2" x14ac:dyDescent="0.2"/>
  <cols>
    <col min="1" max="1" width="8.83203125" bestFit="1" customWidth="1"/>
    <col min="2" max="2" width="7.83203125" bestFit="1" customWidth="1"/>
    <col min="3" max="3" width="18" bestFit="1" customWidth="1"/>
    <col min="4" max="4" width="5.83203125" bestFit="1" customWidth="1"/>
    <col min="5" max="5" width="18" bestFit="1" customWidth="1"/>
    <col min="6" max="6" width="5.83203125" bestFit="1" customWidth="1"/>
    <col min="7" max="7" width="5.6640625" hidden="1" customWidth="1" outlineLevel="1"/>
    <col min="8" max="8" width="5.83203125" hidden="1" customWidth="1" outlineLevel="1"/>
    <col min="9" max="9" width="5.5" hidden="1" customWidth="1" outlineLevel="1"/>
    <col min="10" max="11" width="5.6640625" hidden="1" customWidth="1" outlineLevel="1"/>
    <col min="12" max="12" width="4.6640625" hidden="1" customWidth="1" outlineLevel="1"/>
    <col min="13" max="23" width="4.6640625" hidden="1" customWidth="1" outlineLevel="2"/>
    <col min="24" max="24" width="9.1640625" hidden="1" customWidth="1" outlineLevel="1" collapsed="1"/>
    <col min="25" max="35" width="4.6640625" hidden="1" customWidth="1" outlineLevel="2"/>
    <col min="36" max="36" width="9" hidden="1" customWidth="1" outlineLevel="1" collapsed="1"/>
    <col min="37" max="48" width="4.6640625" hidden="1" customWidth="1" outlineLevel="2"/>
    <col min="49" max="49" width="7" hidden="1" customWidth="1" outlineLevel="1" collapsed="1"/>
    <col min="50" max="50" width="6.83203125" hidden="1" customWidth="1" outlineLevel="1"/>
    <col min="51" max="51" width="11.33203125" hidden="1" customWidth="1" outlineLevel="1"/>
    <col min="52" max="52" width="11.1640625" hidden="1" customWidth="1" outlineLevel="1"/>
    <col min="53" max="53" width="33.33203125" hidden="1" customWidth="1" outlineLevel="1"/>
    <col min="54" max="54" width="8" hidden="1" customWidth="1" outlineLevel="1"/>
    <col min="55" max="55" width="7.83203125" hidden="1" customWidth="1" outlineLevel="1"/>
    <col min="56" max="56" width="7" hidden="1" customWidth="1" outlineLevel="1"/>
    <col min="57" max="61" width="10.83203125" hidden="1" customWidth="1" outlineLevel="1"/>
    <col min="62" max="62" width="10.83203125" collapsed="1"/>
  </cols>
  <sheetData>
    <row r="1" spans="1:61" x14ac:dyDescent="0.2">
      <c r="A1" s="52">
        <f ca="1">TODAY()-1</f>
        <v>44594</v>
      </c>
    </row>
    <row r="2" spans="1:61" x14ac:dyDescent="0.2">
      <c r="A2" s="39" t="s">
        <v>41</v>
      </c>
      <c r="B2" s="79" t="s">
        <v>42</v>
      </c>
      <c r="C2" s="79" t="s">
        <v>3</v>
      </c>
      <c r="D2" s="79" t="s">
        <v>43</v>
      </c>
      <c r="E2" s="79" t="s">
        <v>2</v>
      </c>
      <c r="F2" s="79" t="s">
        <v>43</v>
      </c>
      <c r="G2" s="79" t="s">
        <v>33</v>
      </c>
      <c r="H2" s="79" t="s">
        <v>34</v>
      </c>
      <c r="I2" s="79" t="s">
        <v>35</v>
      </c>
      <c r="J2" s="79" t="s">
        <v>36</v>
      </c>
      <c r="K2" s="82">
        <f>'ISL Total'!$X$16</f>
        <v>1.4318090834257975</v>
      </c>
      <c r="L2" s="82">
        <f>'ISL Total'!$Y$16</f>
        <v>1.3395815600889593</v>
      </c>
      <c r="M2" s="82">
        <f>'ISL Total'!$X$17</f>
        <v>0.31022378258534999</v>
      </c>
      <c r="N2" s="83">
        <v>1</v>
      </c>
      <c r="O2" s="83">
        <v>2</v>
      </c>
      <c r="P2" s="83">
        <v>3</v>
      </c>
      <c r="Q2" s="83">
        <v>4</v>
      </c>
      <c r="R2" s="83">
        <v>5</v>
      </c>
      <c r="S2" s="83">
        <v>6</v>
      </c>
      <c r="T2" s="83">
        <v>7</v>
      </c>
      <c r="U2" s="83">
        <v>8</v>
      </c>
      <c r="V2" s="83">
        <v>9</v>
      </c>
      <c r="W2" s="83">
        <v>10</v>
      </c>
      <c r="X2" s="82" t="s">
        <v>45</v>
      </c>
      <c r="Y2" s="82">
        <f>'ISL Total'!$Y$17</f>
        <v>0.23545196909950128</v>
      </c>
      <c r="Z2" s="83">
        <v>1</v>
      </c>
      <c r="AA2" s="83">
        <v>2</v>
      </c>
      <c r="AB2" s="83">
        <v>3</v>
      </c>
      <c r="AC2" s="83">
        <v>4</v>
      </c>
      <c r="AD2" s="83">
        <v>5</v>
      </c>
      <c r="AE2" s="83">
        <v>6</v>
      </c>
      <c r="AF2" s="83">
        <v>7</v>
      </c>
      <c r="AG2" s="83">
        <v>8</v>
      </c>
      <c r="AH2" s="83">
        <v>9</v>
      </c>
      <c r="AI2" s="83">
        <v>10</v>
      </c>
      <c r="AJ2" s="82" t="s">
        <v>44</v>
      </c>
      <c r="AK2" s="84">
        <v>0</v>
      </c>
      <c r="AL2" s="84">
        <v>1</v>
      </c>
      <c r="AM2" s="84">
        <v>2</v>
      </c>
      <c r="AN2" s="73">
        <v>3</v>
      </c>
      <c r="AO2" s="73">
        <v>4</v>
      </c>
      <c r="AP2" s="73">
        <v>5</v>
      </c>
      <c r="AQ2" s="73">
        <v>5</v>
      </c>
      <c r="AR2" s="73">
        <v>4</v>
      </c>
      <c r="AS2" s="73">
        <v>3</v>
      </c>
      <c r="AT2" s="73">
        <v>2</v>
      </c>
      <c r="AU2" s="73">
        <v>1</v>
      </c>
      <c r="AV2" s="73">
        <v>0</v>
      </c>
      <c r="AW2" s="79" t="s">
        <v>46</v>
      </c>
      <c r="AX2" s="79" t="s">
        <v>47</v>
      </c>
      <c r="AY2" s="79" t="s">
        <v>68</v>
      </c>
      <c r="AZ2" s="79" t="s">
        <v>69</v>
      </c>
      <c r="BA2" s="79" t="s">
        <v>67</v>
      </c>
      <c r="BB2" s="79" t="s">
        <v>58</v>
      </c>
      <c r="BC2" s="79" t="s">
        <v>59</v>
      </c>
      <c r="BD2" s="79" t="s">
        <v>63</v>
      </c>
      <c r="BE2" s="85" t="s">
        <v>56</v>
      </c>
      <c r="BF2" s="79" t="s">
        <v>57</v>
      </c>
      <c r="BG2" s="79" t="s">
        <v>19</v>
      </c>
      <c r="BH2" s="79" t="s">
        <v>20</v>
      </c>
      <c r="BI2" s="79" t="s">
        <v>21</v>
      </c>
    </row>
    <row r="3" spans="1:61" x14ac:dyDescent="0.2">
      <c r="A3" s="52">
        <f>'ISL 8'!B4</f>
        <v>44519</v>
      </c>
      <c r="B3" s="54">
        <f>'ISL 8'!C4</f>
        <v>1</v>
      </c>
      <c r="C3" s="54" t="str">
        <f>'ISL 8'!D4</f>
        <v>ATK-MB</v>
      </c>
      <c r="D3" s="54">
        <f>IF('ISL 8'!E4&lt;&gt;"",'ISL 8'!E4,INDEX($AK$2:$AP$2,,MATCH($AW3,AK3:AP3,0)))</f>
        <v>4</v>
      </c>
      <c r="E3" s="54" t="str">
        <f>'ISL 8'!G4</f>
        <v>Kerala Blasters</v>
      </c>
      <c r="F3" s="54">
        <f>IF('ISL 8'!F4&lt;&gt;"",'ISL 8'!F4,INDEX($AQ$2:$AV$2,,MATCH($AX3,AQ3:AV3,0)))</f>
        <v>2</v>
      </c>
      <c r="G3" s="55">
        <f>VLOOKUP($C3,'ISL Total'!$D$5:$AH$15,25,0)</f>
        <v>2.0695986245708529</v>
      </c>
      <c r="H3" s="55">
        <f>VLOOKUP($C3,'ISL Total'!$D$5:$AH$15,28,0)</f>
        <v>1.8323600137409826</v>
      </c>
      <c r="I3" s="55">
        <f>VLOOKUP($E3,'ISL Total'!$D$5:$AH$15,26,0)</f>
        <v>2.1526909424023817</v>
      </c>
      <c r="J3" s="55">
        <f>VLOOKUP(E3,'ISL Total'!$D$5:$AH$15,29,0)</f>
        <v>1.99017477973497</v>
      </c>
      <c r="K3" s="55">
        <f>($K$2*G3*J3)</f>
        <v>5.8974254378795257</v>
      </c>
      <c r="L3" s="55">
        <f t="shared" ref="L3:L26" si="0">$L$2*H3*I3</f>
        <v>5.2839859001930725</v>
      </c>
      <c r="M3" s="55">
        <f ca="1">ABS(NORMINV(RAND(),$K3,$M$2))</f>
        <v>5.257692811814203</v>
      </c>
      <c r="N3" s="55">
        <f t="dataTable" ref="N3:W112" dt2D="0" dtr="1" r1="M1" ca="1"/>
        <v>6.2147120320352993</v>
      </c>
      <c r="O3" s="55">
        <v>6.0542862389459637</v>
      </c>
      <c r="P3" s="55">
        <v>6.1471222379016766</v>
      </c>
      <c r="Q3" s="55">
        <v>5.3778651846381447</v>
      </c>
      <c r="R3" s="55">
        <v>6.0048775615114529</v>
      </c>
      <c r="S3" s="55">
        <v>5.9449173304983223</v>
      </c>
      <c r="T3" s="55">
        <v>5.5514962775802399</v>
      </c>
      <c r="U3" s="55">
        <v>5.8545861677113251</v>
      </c>
      <c r="V3" s="55">
        <v>5.8500849975349674</v>
      </c>
      <c r="W3" s="55">
        <v>5.6721723427820665</v>
      </c>
      <c r="X3" s="55">
        <f ca="1">AVERAGE(M3:W3)</f>
        <v>5.8118011984503326</v>
      </c>
      <c r="Y3" s="55">
        <f ca="1">ABS(NORMINV(RAND(),$L3,$Y$2))</f>
        <v>5.3957724901744228</v>
      </c>
      <c r="Z3" s="55">
        <f t="dataTable" ref="Z3:AI112" dt2D="0" dtr="1" r1="Y1" ca="1"/>
        <v>5.3161967473770524</v>
      </c>
      <c r="AA3" s="55">
        <v>5.0520137830098086</v>
      </c>
      <c r="AB3" s="55">
        <v>5.5355662113840021</v>
      </c>
      <c r="AC3" s="55">
        <v>5.4298617655300978</v>
      </c>
      <c r="AD3" s="55">
        <v>5.4491674906419334</v>
      </c>
      <c r="AE3" s="55">
        <v>5.412302320226944</v>
      </c>
      <c r="AF3" s="55">
        <v>5.3845390973831373</v>
      </c>
      <c r="AG3" s="55">
        <v>5.4102827334082262</v>
      </c>
      <c r="AH3" s="55">
        <v>5.344969857387821</v>
      </c>
      <c r="AI3" s="55">
        <v>5.3284721574492062</v>
      </c>
      <c r="AJ3" s="55">
        <f ca="1">AVERAGE(Y3:AI3)</f>
        <v>5.36901315036115</v>
      </c>
      <c r="AK3" s="55">
        <f ca="1">_xlfn.POISSON.DIST(AK$2,$X3,0)</f>
        <v>2.9920359653115231E-3</v>
      </c>
      <c r="AL3" s="55">
        <f t="shared" ref="AL3:AP3" ca="1" si="1">_xlfn.POISSON.DIST(AL$2,$X3,0)</f>
        <v>1.7389118209004007E-2</v>
      </c>
      <c r="AM3" s="55">
        <f t="shared" ca="1" si="1"/>
        <v>5.0531049023542003E-2</v>
      </c>
      <c r="AN3" s="55">
        <f t="shared" ca="1" si="1"/>
        <v>9.7892137091324688E-2</v>
      </c>
      <c r="AO3" s="55">
        <f t="shared" ca="1" si="1"/>
        <v>0.14223240991655622</v>
      </c>
      <c r="AP3" s="55">
        <f t="shared" ca="1" si="1"/>
        <v>0.16532529808230403</v>
      </c>
      <c r="AQ3" s="55">
        <f ca="1">_xlfn.POISSON.DIST(AQ$2,$AJ3,0)</f>
        <v>0.17320415571755074</v>
      </c>
      <c r="AR3" s="55">
        <f t="shared" ref="AR3:AV18" ca="1" si="2">_xlfn.POISSON.DIST(AR$2,$AJ3,0)</f>
        <v>0.16129980581803949</v>
      </c>
      <c r="AS3" s="55">
        <f t="shared" ca="1" si="2"/>
        <v>0.12017091506448596</v>
      </c>
      <c r="AT3" s="55">
        <f t="shared" ca="1" si="2"/>
        <v>6.7146929071911041E-2</v>
      </c>
      <c r="AU3" s="55">
        <f t="shared" ca="1" si="2"/>
        <v>2.5012763869797696E-2</v>
      </c>
      <c r="AV3" s="55">
        <f t="shared" ca="1" si="2"/>
        <v>4.6587265050962289E-3</v>
      </c>
      <c r="AW3" s="55">
        <f ca="1">MAX(AK3:AP3)</f>
        <v>0.16532529808230403</v>
      </c>
      <c r="AX3" s="55">
        <f ca="1">MAX(AQ3:AV3)</f>
        <v>0.17320415571755074</v>
      </c>
      <c r="AY3" s="54">
        <f t="shared" ref="AY3:AY34" ca="1" si="3">INDEX($AK$2:$AP$2,,MATCH($AW3,AK3:AP3,0))</f>
        <v>5</v>
      </c>
      <c r="AZ3" s="54">
        <f t="shared" ref="AZ3:AZ34" ca="1" si="4">INDEX($AQ$2:$AV$2,,MATCH($AX3,AQ3:AV3,0))</f>
        <v>5</v>
      </c>
      <c r="BA3" s="54" t="str">
        <f t="shared" ref="BA3:BA34" si="5">C3&amp;E3</f>
        <v>ATK-MBKerala Blasters</v>
      </c>
      <c r="BB3" s="54">
        <f>IF(COUNT(D3),IF(D3&gt;F3,3,IF(D3=F3,1,0)),"")</f>
        <v>3</v>
      </c>
      <c r="BC3" s="54">
        <f>IF(COUNT(F3),IF(F3&gt;D3,3,IF(F3=D3,1,0)),"")</f>
        <v>0</v>
      </c>
      <c r="BD3" s="54">
        <f>ABS(D3-F3)</f>
        <v>2</v>
      </c>
      <c r="BE3" s="54" t="str">
        <f t="shared" ref="BE3:BE34" si="6">IF(D3&gt;F3,"HW",IF(D3=F3,"HD","HL"))</f>
        <v>HW</v>
      </c>
      <c r="BF3" s="55" t="str">
        <f t="shared" ref="BF3:BF34" si="7">IF(F3&gt;D3,"AW",IF(F3=D3,"AD","AL"))</f>
        <v>AL</v>
      </c>
      <c r="BG3" s="86">
        <f t="shared" ref="BG3:BG34" ca="1" si="8">(SUM(AL3:AP3)*AV3)+(SUM(AM3:AP3)*AU3)+(SUM(AN3:AP3)*AT3)+(SUM(AO3:AP3)*AS3)+(SUM(AP3)*AR3)</f>
        <v>0.10446178553006363</v>
      </c>
      <c r="BH3" s="86">
        <f t="shared" ref="BH3:BH34" ca="1" si="9">(AK3*AV3)+(AL3*AU3)+(AM3*AT3)+(AN3*AS3)+(AO3*AR3)+(AP3*AQ3)</f>
        <v>6.718277021518744E-2</v>
      </c>
      <c r="BI3" s="87">
        <f ca="1">100%-(BG3+BH3)</f>
        <v>0.82835544425474894</v>
      </c>
    </row>
    <row r="4" spans="1:61" x14ac:dyDescent="0.2">
      <c r="A4" s="52">
        <f>'ISL 8'!B5</f>
        <v>44520</v>
      </c>
      <c r="B4" s="54">
        <f>'ISL 8'!C5</f>
        <v>2</v>
      </c>
      <c r="C4" s="54" t="str">
        <f>'ISL 8'!D5</f>
        <v>Bengaluru</v>
      </c>
      <c r="D4" s="54">
        <f>IF('ISL 8'!E5&lt;&gt;"",'ISL 8'!E5,INDEX($AK$2:$AP$2,,MATCH($AW4,AK4:AP4,0)))</f>
        <v>4</v>
      </c>
      <c r="E4" s="54" t="str">
        <f>'ISL 8'!G5</f>
        <v>NorthEast United</v>
      </c>
      <c r="F4" s="54">
        <f>IF('ISL 8'!F5&lt;&gt;"",'ISL 8'!F5,INDEX($AQ$2:$AV$2,,MATCH($AX4,AQ4:AV4,0)))</f>
        <v>2</v>
      </c>
      <c r="G4" s="55">
        <f>VLOOKUP($C4,'ISL Total'!$D$5:$AH$15,25,0)</f>
        <v>2.2973875558619734</v>
      </c>
      <c r="H4" s="55">
        <f>VLOOKUP($C4,'ISL Total'!$D$5:$AH$15,28,0)</f>
        <v>1.7201477155616627</v>
      </c>
      <c r="I4" s="55">
        <f>VLOOKUP($E4,'ISL Total'!$D$5:$AH$15,26,0)</f>
        <v>1.8614679949616395</v>
      </c>
      <c r="J4" s="55">
        <f>VLOOKUP(E4,'ISL Total'!$D$5:$AH$15,29,0)</f>
        <v>2.7778362426875027</v>
      </c>
      <c r="K4" s="55">
        <f t="shared" ref="K4:K26" si="10">($K$2*G4*J4)</f>
        <v>9.137471122977697</v>
      </c>
      <c r="L4" s="55">
        <f t="shared" si="0"/>
        <v>4.2893400470654024</v>
      </c>
      <c r="M4" s="55">
        <f t="shared" ref="M4:M67" ca="1" si="11">ABS(NORMINV(RAND(),$K4,$M$2))</f>
        <v>8.8203670095762501</v>
      </c>
      <c r="N4" s="55">
        <v>9.3244887559082361</v>
      </c>
      <c r="O4" s="55">
        <v>9.3821088730596074</v>
      </c>
      <c r="P4" s="55">
        <v>9.3252133395229322</v>
      </c>
      <c r="Q4" s="55">
        <v>9.1268723153475282</v>
      </c>
      <c r="R4" s="55">
        <v>9.6905530281214745</v>
      </c>
      <c r="S4" s="55">
        <v>9.4297601591655855</v>
      </c>
      <c r="T4" s="55">
        <v>9.0143247192812233</v>
      </c>
      <c r="U4" s="55">
        <v>9.0382230493191145</v>
      </c>
      <c r="V4" s="55">
        <v>9.0601784786315154</v>
      </c>
      <c r="W4" s="55">
        <v>8.8742633026702649</v>
      </c>
      <c r="X4" s="55">
        <f t="shared" ref="X4:X32" ca="1" si="12">AVERAGE(M4:W4)</f>
        <v>9.1896684573276115</v>
      </c>
      <c r="Y4" s="55">
        <f t="shared" ref="Y4:Y67" ca="1" si="13">ABS(NORMINV(RAND(),$L4,$Y$2))</f>
        <v>4.3753413585278498</v>
      </c>
      <c r="Z4" s="55">
        <v>4.3665497334916505</v>
      </c>
      <c r="AA4" s="55">
        <v>4.2547741445660501</v>
      </c>
      <c r="AB4" s="55">
        <v>4.0710246129193823</v>
      </c>
      <c r="AC4" s="55">
        <v>4.1694228339346386</v>
      </c>
      <c r="AD4" s="55">
        <v>4.0185887435310308</v>
      </c>
      <c r="AE4" s="55">
        <v>4.2474956763978202</v>
      </c>
      <c r="AF4" s="55">
        <v>4.0329539627684863</v>
      </c>
      <c r="AG4" s="55">
        <v>4.7491143627526142</v>
      </c>
      <c r="AH4" s="55">
        <v>4.4920345026897479</v>
      </c>
      <c r="AI4" s="55">
        <v>4.3420433522700135</v>
      </c>
      <c r="AJ4" s="55">
        <f t="shared" ref="AJ4:AJ32" ca="1" si="14">AVERAGE(Y4:AI4)</f>
        <v>4.2835766621681168</v>
      </c>
      <c r="AK4" s="55">
        <f t="shared" ref="AK4:AP32" ca="1" si="15">_xlfn.POISSON.DIST(AK$2,$X4,0)</f>
        <v>1.0208870585979898E-4</v>
      </c>
      <c r="AL4" s="55">
        <f t="shared" ca="1" si="15"/>
        <v>9.3816136008919107E-4</v>
      </c>
      <c r="AM4" s="55">
        <f t="shared" ca="1" si="15"/>
        <v>4.3106959293476065E-3</v>
      </c>
      <c r="AN4" s="55">
        <f t="shared" ca="1" si="15"/>
        <v>1.3204622137018746E-2</v>
      </c>
      <c r="AO4" s="55">
        <f t="shared" ca="1" si="15"/>
        <v>3.0336524885872761E-2</v>
      </c>
      <c r="AP4" s="55">
        <f t="shared" ca="1" si="15"/>
        <v>5.575652116972777E-2</v>
      </c>
      <c r="AQ4" s="55">
        <f t="shared" ref="AQ4:AV35" ca="1" si="16">_xlfn.POISSON.DIST(AQ$2,$AJ4,0)</f>
        <v>0.16577451486288636</v>
      </c>
      <c r="AR4" s="55">
        <f t="shared" ca="1" si="2"/>
        <v>0.19350011443355403</v>
      </c>
      <c r="AS4" s="55">
        <f t="shared" ca="1" si="2"/>
        <v>0.18069023126633116</v>
      </c>
      <c r="AT4" s="55">
        <f t="shared" ca="1" si="2"/>
        <v>0.12654628049183234</v>
      </c>
      <c r="AU4" s="55">
        <f t="shared" ca="1" si="2"/>
        <v>5.9084400944411433E-2</v>
      </c>
      <c r="AV4" s="55">
        <f t="shared" ca="1" si="2"/>
        <v>1.3793239996434682E-2</v>
      </c>
      <c r="AW4" s="55">
        <f t="shared" ref="AW4:AW32" ca="1" si="17">MAX(AK4:AP4)</f>
        <v>5.575652116972777E-2</v>
      </c>
      <c r="AX4" s="55">
        <f t="shared" ref="AX4:AX32" ca="1" si="18">MAX(AQ4:AV4)</f>
        <v>0.19350011443355403</v>
      </c>
      <c r="AY4" s="54">
        <f t="shared" ca="1" si="3"/>
        <v>5</v>
      </c>
      <c r="AZ4" s="54">
        <f t="shared" ca="1" si="4"/>
        <v>4</v>
      </c>
      <c r="BA4" s="54" t="str">
        <f t="shared" si="5"/>
        <v>BengaluruNorthEast United</v>
      </c>
      <c r="BB4" s="54">
        <f t="shared" ref="BB4:BB67" si="19">IF(COUNT(D4),IF(D4&gt;F4,3,IF(D4=F4,1,0)),"")</f>
        <v>3</v>
      </c>
      <c r="BC4" s="54">
        <f t="shared" ref="BC4:BC67" si="20">IF(COUNT(F4),IF(F4&gt;D4,3,IF(F4=D4,1,0)),"")</f>
        <v>0</v>
      </c>
      <c r="BD4" s="54">
        <f t="shared" ref="BD4:BD67" si="21">ABS(D4-F4)</f>
        <v>2</v>
      </c>
      <c r="BE4" s="54" t="str">
        <f t="shared" si="6"/>
        <v>HW</v>
      </c>
      <c r="BF4" s="55" t="str">
        <f t="shared" si="7"/>
        <v>AL</v>
      </c>
      <c r="BG4" s="86">
        <f t="shared" ca="1" si="8"/>
        <v>4.6474489644000902E-2</v>
      </c>
      <c r="BH4" s="86">
        <f t="shared" ca="1" si="9"/>
        <v>1.8101418884170183E-2</v>
      </c>
      <c r="BI4" s="87">
        <f t="shared" ref="BI4:BI67" ca="1" si="22">100%-(BG4+BH4)</f>
        <v>0.93542409147182892</v>
      </c>
    </row>
    <row r="5" spans="1:61" x14ac:dyDescent="0.2">
      <c r="A5" s="52">
        <f>'ISL 8'!B6</f>
        <v>44521</v>
      </c>
      <c r="B5" s="54">
        <f>'ISL 8'!C6</f>
        <v>3</v>
      </c>
      <c r="C5" s="54" t="str">
        <f>'ISL 8'!D6</f>
        <v>East Bengal</v>
      </c>
      <c r="D5" s="54">
        <f>IF('ISL 8'!E6&lt;&gt;"",'ISL 8'!E6,INDEX($AK$2:$AP$2,,MATCH($AW5,AK5:AP5,0)))</f>
        <v>1</v>
      </c>
      <c r="E5" s="54" t="str">
        <f>'ISL 8'!G6</f>
        <v>Jamshedpur</v>
      </c>
      <c r="F5" s="54">
        <f>IF('ISL 8'!F6&lt;&gt;"",'ISL 8'!F6,INDEX($AQ$2:$AV$2,,MATCH($AX5,AQ5:AV5,0)))</f>
        <v>1</v>
      </c>
      <c r="G5" s="55">
        <f>VLOOKUP($C5,'ISL Total'!$D$5:$AH$15,25,0)</f>
        <v>2.2983657473042753</v>
      </c>
      <c r="H5" s="55">
        <f>VLOOKUP($C5,'ISL Total'!$D$5:$AH$15,28,0)</f>
        <v>2.2682850490476736</v>
      </c>
      <c r="I5" s="55">
        <f>VLOOKUP($E5,'ISL Total'!$D$5:$AH$15,26,0)</f>
        <v>2.1921504637581588</v>
      </c>
      <c r="J5" s="55">
        <f>VLOOKUP(E5,'ISL Total'!$D$5:$AH$15,29,0)</f>
        <v>1.9716600419922359</v>
      </c>
      <c r="K5" s="55">
        <f>($K$2*G5*J5)</f>
        <v>6.4883801804018271</v>
      </c>
      <c r="L5" s="55">
        <f t="shared" si="0"/>
        <v>6.6609649838849725</v>
      </c>
      <c r="M5" s="55">
        <f t="shared" ca="1" si="11"/>
        <v>6.6133061145618948</v>
      </c>
      <c r="N5" s="55">
        <v>6.2594740344127411</v>
      </c>
      <c r="O5" s="55">
        <v>7.0233179239580181</v>
      </c>
      <c r="P5" s="55">
        <v>6.4060884741074213</v>
      </c>
      <c r="Q5" s="55">
        <v>6.376824530713094</v>
      </c>
      <c r="R5" s="55">
        <v>5.9774033983494768</v>
      </c>
      <c r="S5" s="55">
        <v>6.7187110093603231</v>
      </c>
      <c r="T5" s="55">
        <v>6.4551421366314834</v>
      </c>
      <c r="U5" s="55">
        <v>6.4083807722494619</v>
      </c>
      <c r="V5" s="55">
        <v>6.9553562985582955</v>
      </c>
      <c r="W5" s="55">
        <v>6.7590929598337466</v>
      </c>
      <c r="X5" s="55">
        <f t="shared" ca="1" si="12"/>
        <v>6.5411906957032677</v>
      </c>
      <c r="Y5" s="55">
        <f t="shared" ca="1" si="13"/>
        <v>6.5705475993043514</v>
      </c>
      <c r="Z5" s="55">
        <v>7.0861152803641181</v>
      </c>
      <c r="AA5" s="55">
        <v>7.3443255749190897</v>
      </c>
      <c r="AB5" s="55">
        <v>6.4231417458354239</v>
      </c>
      <c r="AC5" s="55">
        <v>6.4274085994571983</v>
      </c>
      <c r="AD5" s="55">
        <v>6.4080511503805431</v>
      </c>
      <c r="AE5" s="55">
        <v>6.2376342368786508</v>
      </c>
      <c r="AF5" s="55">
        <v>6.6218362844214402</v>
      </c>
      <c r="AG5" s="55">
        <v>6.4310296410211372</v>
      </c>
      <c r="AH5" s="55">
        <v>6.6197996834835529</v>
      </c>
      <c r="AI5" s="55">
        <v>6.5824069889634744</v>
      </c>
      <c r="AJ5" s="55">
        <f t="shared" ca="1" si="14"/>
        <v>6.6138451622753616</v>
      </c>
      <c r="AK5" s="55">
        <f t="shared" ca="1" si="15"/>
        <v>1.4427695763313544E-3</v>
      </c>
      <c r="AL5" s="55">
        <f t="shared" ca="1" si="15"/>
        <v>9.4374309287424008E-3</v>
      </c>
      <c r="AM5" s="55">
        <f t="shared" ca="1" si="15"/>
        <v>3.0866017691216031E-2</v>
      </c>
      <c r="AN5" s="55">
        <f t="shared" ca="1" si="15"/>
        <v>6.7300169245064892E-2</v>
      </c>
      <c r="AO5" s="55">
        <f t="shared" ca="1" si="15"/>
        <v>0.11005581022126849</v>
      </c>
      <c r="AP5" s="55">
        <f t="shared" ca="1" si="15"/>
        <v>0.14397920836548916</v>
      </c>
      <c r="AQ5" s="55">
        <f t="shared" ca="1" si="16"/>
        <v>0.1414921717654157</v>
      </c>
      <c r="AR5" s="55">
        <f t="shared" ca="1" si="2"/>
        <v>0.10696664972780985</v>
      </c>
      <c r="AS5" s="55">
        <f t="shared" ca="1" si="2"/>
        <v>6.4692563616660259E-2</v>
      </c>
      <c r="AT5" s="55">
        <f t="shared" ca="1" si="2"/>
        <v>2.93441539812541E-2</v>
      </c>
      <c r="AU5" s="55">
        <f t="shared" ca="1" si="2"/>
        <v>8.8735533600423234E-3</v>
      </c>
      <c r="AV5" s="55">
        <f t="shared" ca="1" si="2"/>
        <v>1.3416633051308922E-3</v>
      </c>
      <c r="AW5" s="55">
        <f t="shared" ca="1" si="17"/>
        <v>0.14397920836548916</v>
      </c>
      <c r="AX5" s="55">
        <f t="shared" ca="1" si="18"/>
        <v>0.1414921717654157</v>
      </c>
      <c r="AY5" s="54">
        <f t="shared" ca="1" si="3"/>
        <v>5</v>
      </c>
      <c r="AZ5" s="54">
        <f t="shared" ca="1" si="4"/>
        <v>5</v>
      </c>
      <c r="BA5" s="54" t="str">
        <f t="shared" si="5"/>
        <v>East BengalJamshedpur</v>
      </c>
      <c r="BB5" s="54">
        <f t="shared" si="19"/>
        <v>1</v>
      </c>
      <c r="BC5" s="54">
        <f t="shared" si="20"/>
        <v>1</v>
      </c>
      <c r="BD5" s="54">
        <f t="shared" si="21"/>
        <v>0</v>
      </c>
      <c r="BE5" s="54" t="str">
        <f t="shared" si="6"/>
        <v>HD</v>
      </c>
      <c r="BF5" s="55" t="str">
        <f t="shared" si="7"/>
        <v>AD</v>
      </c>
      <c r="BG5" s="86">
        <f t="shared" ca="1" si="8"/>
        <v>4.4874932860358971E-2</v>
      </c>
      <c r="BH5" s="86">
        <f t="shared" ca="1" si="9"/>
        <v>3.7489469097290867E-2</v>
      </c>
      <c r="BI5" s="87">
        <f t="shared" ca="1" si="22"/>
        <v>0.91763559804235018</v>
      </c>
    </row>
    <row r="6" spans="1:61" x14ac:dyDescent="0.2">
      <c r="A6" s="52">
        <f>'ISL 8'!B7</f>
        <v>44522</v>
      </c>
      <c r="B6" s="54">
        <f>'ISL 8'!C7</f>
        <v>4</v>
      </c>
      <c r="C6" s="54" t="str">
        <f>'ISL 8'!D7</f>
        <v>Mumbai City</v>
      </c>
      <c r="D6" s="54">
        <f>IF('ISL 8'!E7&lt;&gt;"",'ISL 8'!E7,INDEX($AK$2:$AP$2,,MATCH($AW6,AK6:AP6,0)))</f>
        <v>3</v>
      </c>
      <c r="E6" s="54" t="str">
        <f>'ISL 8'!G7</f>
        <v>Goa</v>
      </c>
      <c r="F6" s="54">
        <f>IF('ISL 8'!F7&lt;&gt;"",'ISL 8'!F7,INDEX($AQ$2:$AV$2,,MATCH($AX6,AQ6:AV6,0)))</f>
        <v>0</v>
      </c>
      <c r="G6" s="55">
        <f>VLOOKUP($C6,'ISL Total'!$D$5:$AH$15,25,0)</f>
        <v>1.711666848062984</v>
      </c>
      <c r="H6" s="55">
        <f>VLOOKUP($C6,'ISL Total'!$D$5:$AH$15,28,0)</f>
        <v>2.0663350700408412</v>
      </c>
      <c r="I6" s="55">
        <f>VLOOKUP($E6,'ISL Total'!$D$5:$AH$15,26,0)</f>
        <v>2.0171275621206917</v>
      </c>
      <c r="J6" s="55">
        <f>VLOOKUP(E6,'ISL Total'!$D$5:$AH$15,29,0)</f>
        <v>2.2576929605011884</v>
      </c>
      <c r="K6" s="55">
        <f t="shared" si="10"/>
        <v>5.5331090717453133</v>
      </c>
      <c r="L6" s="55">
        <f t="shared" si="0"/>
        <v>5.5834582227062182</v>
      </c>
      <c r="M6" s="55">
        <f t="shared" ca="1" si="11"/>
        <v>5.2054013518716928</v>
      </c>
      <c r="N6" s="55">
        <v>6.1663453160493651</v>
      </c>
      <c r="O6" s="55">
        <v>4.8979512478314611</v>
      </c>
      <c r="P6" s="55">
        <v>5.4470472791172915</v>
      </c>
      <c r="Q6" s="55">
        <v>5.3499138876882419</v>
      </c>
      <c r="R6" s="55">
        <v>5.4568478942998002</v>
      </c>
      <c r="S6" s="55">
        <v>5.9358406488551481</v>
      </c>
      <c r="T6" s="55">
        <v>5.4713622063489309</v>
      </c>
      <c r="U6" s="55">
        <v>5.2872532105936418</v>
      </c>
      <c r="V6" s="55">
        <v>5.6438315746361702</v>
      </c>
      <c r="W6" s="55">
        <v>5.6194505180223162</v>
      </c>
      <c r="X6" s="55">
        <f t="shared" ca="1" si="12"/>
        <v>5.4982950123012779</v>
      </c>
      <c r="Y6" s="55">
        <f t="shared" ca="1" si="13"/>
        <v>5.378285344675799</v>
      </c>
      <c r="Z6" s="55">
        <v>5.4451762705994113</v>
      </c>
      <c r="AA6" s="55">
        <v>5.9629627188771934</v>
      </c>
      <c r="AB6" s="55">
        <v>5.8975129399379576</v>
      </c>
      <c r="AC6" s="55">
        <v>5.6430756639445416</v>
      </c>
      <c r="AD6" s="55">
        <v>5.4512466128890145</v>
      </c>
      <c r="AE6" s="55">
        <v>5.2303829374700621</v>
      </c>
      <c r="AF6" s="55">
        <v>5.1309601014519552</v>
      </c>
      <c r="AG6" s="55">
        <v>5.55296778202786</v>
      </c>
      <c r="AH6" s="55">
        <v>5.5223229092945214</v>
      </c>
      <c r="AI6" s="55">
        <v>5.5108076851231953</v>
      </c>
      <c r="AJ6" s="55">
        <f t="shared" ca="1" si="14"/>
        <v>5.5205182696628654</v>
      </c>
      <c r="AK6" s="55">
        <f t="shared" ca="1" si="15"/>
        <v>4.0937452769591581E-3</v>
      </c>
      <c r="AL6" s="55">
        <f t="shared" ca="1" si="15"/>
        <v>2.2508619237936452E-2</v>
      </c>
      <c r="AM6" s="55">
        <f t="shared" ca="1" si="15"/>
        <v>6.1879514444867306E-2</v>
      </c>
      <c r="AN6" s="55">
        <f t="shared" ca="1" si="15"/>
        <v>0.1134106085452796</v>
      </c>
      <c r="AO6" s="55">
        <f t="shared" ca="1" si="15"/>
        <v>0.15589124582664091</v>
      </c>
      <c r="AP6" s="55">
        <f t="shared" ca="1" si="15"/>
        <v>0.17142721187801035</v>
      </c>
      <c r="AQ6" s="55">
        <f t="shared" ca="1" si="16"/>
        <v>0.1710753312469227</v>
      </c>
      <c r="AR6" s="55">
        <f t="shared" ca="1" si="2"/>
        <v>0.15494499147574617</v>
      </c>
      <c r="AS6" s="55">
        <f t="shared" ca="1" si="2"/>
        <v>0.11226843851036362</v>
      </c>
      <c r="AT6" s="55">
        <f t="shared" ca="1" si="2"/>
        <v>6.1009727543508252E-2</v>
      </c>
      <c r="AU6" s="55">
        <f t="shared" ca="1" si="2"/>
        <v>2.2102898519067507E-2</v>
      </c>
      <c r="AV6" s="55">
        <f t="shared" ca="1" si="2"/>
        <v>4.0037723705273268E-3</v>
      </c>
      <c r="AW6" s="55">
        <f t="shared" ca="1" si="17"/>
        <v>0.17142721187801035</v>
      </c>
      <c r="AX6" s="55">
        <f t="shared" ca="1" si="18"/>
        <v>0.1710753312469227</v>
      </c>
      <c r="AY6" s="54">
        <f t="shared" ca="1" si="3"/>
        <v>5</v>
      </c>
      <c r="AZ6" s="54">
        <f t="shared" ca="1" si="4"/>
        <v>5</v>
      </c>
      <c r="BA6" s="54" t="str">
        <f t="shared" si="5"/>
        <v>Mumbai CityGoa</v>
      </c>
      <c r="BB6" s="54">
        <f t="shared" si="19"/>
        <v>3</v>
      </c>
      <c r="BC6" s="54">
        <f t="shared" si="20"/>
        <v>0</v>
      </c>
      <c r="BD6" s="54">
        <f t="shared" si="21"/>
        <v>3</v>
      </c>
      <c r="BE6" s="54" t="str">
        <f t="shared" si="6"/>
        <v>HW</v>
      </c>
      <c r="BF6" s="55" t="str">
        <f t="shared" si="7"/>
        <v>AL</v>
      </c>
      <c r="BG6" s="86">
        <f t="shared" ca="1" si="8"/>
        <v>0.10340963646797308</v>
      </c>
      <c r="BH6" s="86">
        <f t="shared" ca="1" si="9"/>
        <v>7.0503115212266237E-2</v>
      </c>
      <c r="BI6" s="87">
        <f t="shared" ca="1" si="22"/>
        <v>0.82608724831976066</v>
      </c>
    </row>
    <row r="7" spans="1:61" x14ac:dyDescent="0.2">
      <c r="A7" s="52">
        <f>'ISL 8'!B8</f>
        <v>44523</v>
      </c>
      <c r="B7" s="54">
        <f>'ISL 8'!C8</f>
        <v>5</v>
      </c>
      <c r="C7" s="54" t="str">
        <f>'ISL 8'!D8</f>
        <v>Hyderabad</v>
      </c>
      <c r="D7" s="54">
        <f>IF('ISL 8'!E8&lt;&gt;"",'ISL 8'!E8,INDEX($AK$2:$AP$2,,MATCH($AW7,AK7:AP7,0)))</f>
        <v>0</v>
      </c>
      <c r="E7" s="54" t="str">
        <f>'ISL 8'!G8</f>
        <v>Chennaiyin</v>
      </c>
      <c r="F7" s="54">
        <f>IF('ISL 8'!F8&lt;&gt;"",'ISL 8'!F8,INDEX($AQ$2:$AV$2,,MATCH($AX7,AQ7:AV7,0)))</f>
        <v>1</v>
      </c>
      <c r="G7" s="55">
        <f>VLOOKUP($C7,'ISL Total'!$D$5:$AH$15,25,0)</f>
        <v>2.6008540597170162</v>
      </c>
      <c r="H7" s="55">
        <f>VLOOKUP($C7,'ISL Total'!$D$5:$AH$15,28,0)</f>
        <v>1.7011584411618765</v>
      </c>
      <c r="I7" s="55">
        <f>VLOOKUP($E7,'ISL Total'!$D$5:$AH$15,26,0)</f>
        <v>1.4832889614107407</v>
      </c>
      <c r="J7" s="55">
        <f>VLOOKUP(E7,'ISL Total'!$D$5:$AH$15,29,0)</f>
        <v>1.6817905576540886</v>
      </c>
      <c r="K7" s="55">
        <f t="shared" si="10"/>
        <v>6.2628643702171196</v>
      </c>
      <c r="L7" s="55">
        <f t="shared" si="0"/>
        <v>3.3801789266790414</v>
      </c>
      <c r="M7" s="55">
        <f t="shared" ca="1" si="11"/>
        <v>6.074275367861051</v>
      </c>
      <c r="N7" s="55">
        <v>7.0507482571147442</v>
      </c>
      <c r="O7" s="55">
        <v>6.4895498273805341</v>
      </c>
      <c r="P7" s="55">
        <v>6.3149490743405847</v>
      </c>
      <c r="Q7" s="55">
        <v>6.641936279422012</v>
      </c>
      <c r="R7" s="55">
        <v>6.5921018843481329</v>
      </c>
      <c r="S7" s="55">
        <v>6.2260590835059419</v>
      </c>
      <c r="T7" s="55">
        <v>5.882502261894583</v>
      </c>
      <c r="U7" s="55">
        <v>6.1856015773830304</v>
      </c>
      <c r="V7" s="55">
        <v>5.6031519089259145</v>
      </c>
      <c r="W7" s="55">
        <v>6.3621299181646016</v>
      </c>
      <c r="X7" s="55">
        <f t="shared" ca="1" si="12"/>
        <v>6.3111823127582847</v>
      </c>
      <c r="Y7" s="55">
        <f t="shared" ca="1" si="13"/>
        <v>3.1587872090156686</v>
      </c>
      <c r="Z7" s="55">
        <v>3.1004402646451137</v>
      </c>
      <c r="AA7" s="55">
        <v>3.3039259941796946</v>
      </c>
      <c r="AB7" s="55">
        <v>3.5135974740965596</v>
      </c>
      <c r="AC7" s="55">
        <v>3.1706597462665718</v>
      </c>
      <c r="AD7" s="55">
        <v>3.4403018358413213</v>
      </c>
      <c r="AE7" s="55">
        <v>3.5701385582893055</v>
      </c>
      <c r="AF7" s="55">
        <v>3.2378731383328541</v>
      </c>
      <c r="AG7" s="55">
        <v>3.5207440533120082</v>
      </c>
      <c r="AH7" s="55">
        <v>3.0261835629063629</v>
      </c>
      <c r="AI7" s="55">
        <v>3.3448430597004744</v>
      </c>
      <c r="AJ7" s="55">
        <f t="shared" ca="1" si="14"/>
        <v>3.3079540815078121</v>
      </c>
      <c r="AK7" s="55">
        <f t="shared" ca="1" si="15"/>
        <v>1.8158850254970512E-3</v>
      </c>
      <c r="AL7" s="55">
        <f t="shared" ca="1" si="15"/>
        <v>1.1460381454919615E-2</v>
      </c>
      <c r="AM7" s="55">
        <f t="shared" ca="1" si="15"/>
        <v>3.6164278367875884E-2</v>
      </c>
      <c r="AN7" s="55">
        <f t="shared" ca="1" si="15"/>
        <v>7.6079784663001762E-2</v>
      </c>
      <c r="AO7" s="55">
        <f t="shared" ca="1" si="15"/>
        <v>0.12003834783089896</v>
      </c>
      <c r="AP7" s="55">
        <f t="shared" ca="1" si="15"/>
        <v>0.15151677953661921</v>
      </c>
      <c r="AQ7" s="55">
        <f t="shared" ca="1" si="16"/>
        <v>0.12077857793500114</v>
      </c>
      <c r="AR7" s="55">
        <f t="shared" ca="1" si="2"/>
        <v>0.18255782117741573</v>
      </c>
      <c r="AS7" s="55">
        <f t="shared" ca="1" si="2"/>
        <v>0.22075012733454061</v>
      </c>
      <c r="AT7" s="55">
        <f t="shared" ca="1" si="2"/>
        <v>0.20019938780460902</v>
      </c>
      <c r="AU7" s="55">
        <f t="shared" ca="1" si="2"/>
        <v>0.12104121331294619</v>
      </c>
      <c r="AV7" s="55">
        <f t="shared" ca="1" si="2"/>
        <v>3.6590959345413253E-2</v>
      </c>
      <c r="AW7" s="55">
        <f t="shared" ca="1" si="17"/>
        <v>0.15151677953661921</v>
      </c>
      <c r="AX7" s="55">
        <f t="shared" ca="1" si="18"/>
        <v>0.22075012733454061</v>
      </c>
      <c r="AY7" s="54">
        <f t="shared" ca="1" si="3"/>
        <v>5</v>
      </c>
      <c r="AZ7" s="54">
        <f t="shared" ca="1" si="4"/>
        <v>3</v>
      </c>
      <c r="BA7" s="54" t="str">
        <f t="shared" si="5"/>
        <v>HyderabadChennaiyin</v>
      </c>
      <c r="BB7" s="54">
        <f t="shared" si="19"/>
        <v>0</v>
      </c>
      <c r="BC7" s="54">
        <f t="shared" si="20"/>
        <v>3</v>
      </c>
      <c r="BD7" s="54">
        <f t="shared" si="21"/>
        <v>1</v>
      </c>
      <c r="BE7" s="54" t="str">
        <f t="shared" si="6"/>
        <v>HL</v>
      </c>
      <c r="BF7" s="55" t="str">
        <f t="shared" si="7"/>
        <v>AW</v>
      </c>
      <c r="BG7" s="86">
        <f t="shared" ca="1" si="8"/>
        <v>0.21812114525568868</v>
      </c>
      <c r="BH7" s="86">
        <f t="shared" ca="1" si="9"/>
        <v>6.5702232396532473E-2</v>
      </c>
      <c r="BI7" s="87">
        <f t="shared" ca="1" si="22"/>
        <v>0.71617662234777879</v>
      </c>
    </row>
    <row r="8" spans="1:61" x14ac:dyDescent="0.2">
      <c r="A8" s="52">
        <f>'ISL 8'!B9</f>
        <v>44524</v>
      </c>
      <c r="B8" s="54">
        <f>'ISL 8'!C9</f>
        <v>6</v>
      </c>
      <c r="C8" s="54" t="str">
        <f>'ISL 8'!D9</f>
        <v>Odisha</v>
      </c>
      <c r="D8" s="54">
        <f>IF('ISL 8'!E9&lt;&gt;"",'ISL 8'!E9,INDEX($AK$2:$AP$2,,MATCH($AW8,AK8:AP8,0)))</f>
        <v>3</v>
      </c>
      <c r="E8" s="54" t="str">
        <f>'ISL 8'!G9</f>
        <v>Bengaluru</v>
      </c>
      <c r="F8" s="54">
        <f>IF('ISL 8'!F9&lt;&gt;"",'ISL 8'!F9,INDEX($AQ$2:$AV$2,,MATCH($AX8,AQ8:AV8,0)))</f>
        <v>1</v>
      </c>
      <c r="G8" s="55">
        <f>VLOOKUP($C8,'ISL Total'!$D$5:$AH$15,25,0)</f>
        <v>1.4571180555555554</v>
      </c>
      <c r="H8" s="55">
        <f>VLOOKUP($C8,'ISL Total'!$D$5:$AH$15,28,0)</f>
        <v>1.7565140845070424</v>
      </c>
      <c r="I8" s="55">
        <f>VLOOKUP($E8,'ISL Total'!$D$5:$AH$15,26,0)</f>
        <v>2.137197984655903</v>
      </c>
      <c r="J8" s="55">
        <f>VLOOKUP(E8,'ISL Total'!$D$5:$AH$15,29,0)</f>
        <v>1.6538618669066225</v>
      </c>
      <c r="K8" s="55">
        <f t="shared" si="10"/>
        <v>3.4504766018313533</v>
      </c>
      <c r="L8" s="55">
        <f t="shared" si="0"/>
        <v>5.0288137732045328</v>
      </c>
      <c r="M8" s="55">
        <f t="shared" ca="1" si="11"/>
        <v>3.4102682158614872</v>
      </c>
      <c r="N8" s="55">
        <v>4.3483729613617488</v>
      </c>
      <c r="O8" s="55">
        <v>3.6369520382819776</v>
      </c>
      <c r="P8" s="55">
        <v>2.9600982180238935</v>
      </c>
      <c r="Q8" s="55">
        <v>2.7086102399422769</v>
      </c>
      <c r="R8" s="55">
        <v>3.1733703568090679</v>
      </c>
      <c r="S8" s="55">
        <v>3.0332490138734247</v>
      </c>
      <c r="T8" s="55">
        <v>3.5868774341732741</v>
      </c>
      <c r="U8" s="55">
        <v>3.2047680787920161</v>
      </c>
      <c r="V8" s="55">
        <v>3.6454293875239232</v>
      </c>
      <c r="W8" s="55">
        <v>4.0242761324557126</v>
      </c>
      <c r="X8" s="55">
        <f t="shared" ca="1" si="12"/>
        <v>3.430206552463527</v>
      </c>
      <c r="Y8" s="55">
        <f t="shared" ca="1" si="13"/>
        <v>5.232695754043676</v>
      </c>
      <c r="Z8" s="55">
        <v>5.0127694480011895</v>
      </c>
      <c r="AA8" s="55">
        <v>4.8002469177755067</v>
      </c>
      <c r="AB8" s="55">
        <v>5.3951550092033393</v>
      </c>
      <c r="AC8" s="55">
        <v>4.7109082760694045</v>
      </c>
      <c r="AD8" s="55">
        <v>4.8550708814333339</v>
      </c>
      <c r="AE8" s="55">
        <v>4.8768566687393706</v>
      </c>
      <c r="AF8" s="55">
        <v>4.7413945744232366</v>
      </c>
      <c r="AG8" s="55">
        <v>5.2029611677629903</v>
      </c>
      <c r="AH8" s="55">
        <v>4.8523886980628346</v>
      </c>
      <c r="AI8" s="55">
        <v>5.2330567143328608</v>
      </c>
      <c r="AJ8" s="55">
        <f t="shared" ca="1" si="14"/>
        <v>4.9921367372588854</v>
      </c>
      <c r="AK8" s="55">
        <f t="shared" ca="1" si="15"/>
        <v>3.2380251861333656E-2</v>
      </c>
      <c r="AL8" s="55">
        <f t="shared" ca="1" si="15"/>
        <v>0.11107095210516603</v>
      </c>
      <c r="AM8" s="55">
        <f t="shared" ca="1" si="15"/>
        <v>0.19049815384975161</v>
      </c>
      <c r="AN8" s="55">
        <f t="shared" ca="1" si="15"/>
        <v>0.21781600518920763</v>
      </c>
      <c r="AO8" s="55">
        <f t="shared" ca="1" si="15"/>
        <v>0.18678847205786242</v>
      </c>
      <c r="AP8" s="55">
        <f t="shared" ca="1" si="15"/>
        <v>0.12814460815550599</v>
      </c>
      <c r="AQ8" s="55">
        <f t="shared" ca="1" si="16"/>
        <v>0.17546628370183356</v>
      </c>
      <c r="AR8" s="55">
        <f t="shared" ca="1" si="2"/>
        <v>0.17574266585311901</v>
      </c>
      <c r="AS8" s="55">
        <f t="shared" ca="1" si="2"/>
        <v>0.14081558667370711</v>
      </c>
      <c r="AT8" s="55">
        <f t="shared" ca="1" si="2"/>
        <v>8.4622433690203988E-2</v>
      </c>
      <c r="AU8" s="55">
        <f t="shared" ca="1" si="2"/>
        <v>3.3902289998838854E-2</v>
      </c>
      <c r="AV8" s="55">
        <f t="shared" ca="1" si="2"/>
        <v>6.7911381004067094E-3</v>
      </c>
      <c r="AW8" s="55">
        <f ca="1">MAX(AK8:AP8)</f>
        <v>0.21781600518920763</v>
      </c>
      <c r="AX8" s="55">
        <f t="shared" ca="1" si="18"/>
        <v>0.17574266585311901</v>
      </c>
      <c r="AY8" s="54">
        <f t="shared" ca="1" si="3"/>
        <v>3</v>
      </c>
      <c r="AZ8" s="54">
        <f t="shared" ca="1" si="4"/>
        <v>4</v>
      </c>
      <c r="BA8" s="54" t="str">
        <f t="shared" si="5"/>
        <v>OdishaBengaluru</v>
      </c>
      <c r="BB8" s="54">
        <f t="shared" si="19"/>
        <v>3</v>
      </c>
      <c r="BC8" s="54">
        <f t="shared" si="20"/>
        <v>0</v>
      </c>
      <c r="BD8" s="54">
        <f t="shared" si="21"/>
        <v>2</v>
      </c>
      <c r="BE8" s="54" t="str">
        <f t="shared" si="6"/>
        <v>HW</v>
      </c>
      <c r="BF8" s="55" t="str">
        <f t="shared" si="7"/>
        <v>AL</v>
      </c>
      <c r="BG8" s="86">
        <f t="shared" ca="1" si="8"/>
        <v>0.14213619336133371</v>
      </c>
      <c r="BH8" s="86">
        <f t="shared" ca="1" si="9"/>
        <v>0.10608952654028501</v>
      </c>
      <c r="BI8" s="87">
        <f t="shared" ca="1" si="22"/>
        <v>0.75177428009838132</v>
      </c>
    </row>
    <row r="9" spans="1:61" x14ac:dyDescent="0.2">
      <c r="A9" s="52">
        <f>'ISL 8'!B10</f>
        <v>44525</v>
      </c>
      <c r="B9" s="54">
        <f>'ISL 8'!C10</f>
        <v>7</v>
      </c>
      <c r="C9" s="54" t="str">
        <f>'ISL 8'!D10</f>
        <v>NorthEast United</v>
      </c>
      <c r="D9" s="54">
        <f>IF('ISL 8'!E10&lt;&gt;"",'ISL 8'!E10,INDEX($AK$2:$AP$2,,MATCH($AW9,AK9:AP9,0)))</f>
        <v>0</v>
      </c>
      <c r="E9" s="54" t="str">
        <f>'ISL 8'!G10</f>
        <v>Kerala Blasters</v>
      </c>
      <c r="F9" s="54">
        <f>IF('ISL 8'!F10&lt;&gt;"",'ISL 8'!F10,INDEX($AQ$2:$AV$2,,MATCH($AX9,AQ9:AV9,0)))</f>
        <v>0</v>
      </c>
      <c r="G9" s="55">
        <f>VLOOKUP($C9,'ISL Total'!$D$5:$AH$15,25,0)</f>
        <v>1.9869978963421873</v>
      </c>
      <c r="H9" s="55">
        <f>VLOOKUP($C9,'ISL Total'!$D$5:$AH$15,28,0)</f>
        <v>2.4341100805374252</v>
      </c>
      <c r="I9" s="55">
        <f>VLOOKUP($E9,'ISL Total'!$D$5:$AH$15,26,0)</f>
        <v>2.1526909424023817</v>
      </c>
      <c r="J9" s="55">
        <f>VLOOKUP(E9,'ISL Total'!$D$5:$AH$15,29,0)</f>
        <v>1.99017477973497</v>
      </c>
      <c r="K9" s="55">
        <f t="shared" si="10"/>
        <v>5.6620505057261399</v>
      </c>
      <c r="L9" s="55">
        <f t="shared" si="0"/>
        <v>7.0192556313312391</v>
      </c>
      <c r="M9" s="55">
        <f t="shared" ca="1" si="11"/>
        <v>5.2314459279103529</v>
      </c>
      <c r="N9" s="55">
        <v>5.569547319240197</v>
      </c>
      <c r="O9" s="55">
        <v>5.9292727624439463</v>
      </c>
      <c r="P9" s="55">
        <v>5.8303012930279232</v>
      </c>
      <c r="Q9" s="55">
        <v>5.8868662478591736</v>
      </c>
      <c r="R9" s="55">
        <v>5.5984940429596612</v>
      </c>
      <c r="S9" s="55">
        <v>6.3023556891208603</v>
      </c>
      <c r="T9" s="55">
        <v>5.7455714147908337</v>
      </c>
      <c r="U9" s="55">
        <v>5.879353933612455</v>
      </c>
      <c r="V9" s="55">
        <v>5.5704254596529248</v>
      </c>
      <c r="W9" s="55">
        <v>6.2442789642580037</v>
      </c>
      <c r="X9" s="55">
        <f t="shared" ca="1" si="12"/>
        <v>5.7989011868069387</v>
      </c>
      <c r="Y9" s="55">
        <f t="shared" ca="1" si="13"/>
        <v>6.9106021913059861</v>
      </c>
      <c r="Z9" s="55">
        <v>6.8228801022488605</v>
      </c>
      <c r="AA9" s="55">
        <v>7.2948123964213689</v>
      </c>
      <c r="AB9" s="55">
        <v>6.9441296307228741</v>
      </c>
      <c r="AC9" s="55">
        <v>7.0088963631717451</v>
      </c>
      <c r="AD9" s="55">
        <v>7.444228213826416</v>
      </c>
      <c r="AE9" s="55">
        <v>6.9315532828888209</v>
      </c>
      <c r="AF9" s="55">
        <v>7.1831000124462463</v>
      </c>
      <c r="AG9" s="55">
        <v>6.7707406188089809</v>
      </c>
      <c r="AH9" s="55">
        <v>7.2832102923551361</v>
      </c>
      <c r="AI9" s="55">
        <v>6.4970735801681938</v>
      </c>
      <c r="AJ9" s="55">
        <f t="shared" ca="1" si="14"/>
        <v>7.0082933349422385</v>
      </c>
      <c r="AK9" s="55">
        <f t="shared" ca="1" si="15"/>
        <v>3.0308832908626918E-3</v>
      </c>
      <c r="AL9" s="55">
        <f t="shared" ca="1" si="15"/>
        <v>1.7575792712456986E-2</v>
      </c>
      <c r="AM9" s="55">
        <f t="shared" ca="1" si="15"/>
        <v>5.096014260966978E-2</v>
      </c>
      <c r="AN9" s="55">
        <f t="shared" ca="1" si="15"/>
        <v>9.850427715302168E-2</v>
      </c>
      <c r="AO9" s="55">
        <f t="shared" ca="1" si="15"/>
        <v>0.14280414242205422</v>
      </c>
      <c r="AP9" s="55">
        <f t="shared" ca="1" si="15"/>
        <v>0.16562142219443943</v>
      </c>
      <c r="AQ9" s="55">
        <f t="shared" ca="1" si="16"/>
        <v>0.12741395204302242</v>
      </c>
      <c r="AR9" s="55">
        <f t="shared" ca="1" si="2"/>
        <v>9.0902268179726853E-2</v>
      </c>
      <c r="AS9" s="55">
        <f t="shared" ca="1" si="2"/>
        <v>5.1882684605396058E-2</v>
      </c>
      <c r="AT9" s="55">
        <f t="shared" ca="1" si="2"/>
        <v>2.2209123730616655E-2</v>
      </c>
      <c r="AU9" s="55">
        <f t="shared" ca="1" si="2"/>
        <v>6.3379549539930033E-3</v>
      </c>
      <c r="AV9" s="55">
        <f t="shared" ca="1" si="2"/>
        <v>9.0435069582389845E-4</v>
      </c>
      <c r="AW9" s="55">
        <f t="shared" ca="1" si="17"/>
        <v>0.16562142219443943</v>
      </c>
      <c r="AX9" s="55">
        <f t="shared" ca="1" si="18"/>
        <v>0.12741395204302242</v>
      </c>
      <c r="AY9" s="54">
        <f t="shared" ca="1" si="3"/>
        <v>5</v>
      </c>
      <c r="AZ9" s="54">
        <f t="shared" ca="1" si="4"/>
        <v>5</v>
      </c>
      <c r="BA9" s="54" t="str">
        <f t="shared" si="5"/>
        <v>NorthEast UnitedKerala Blasters</v>
      </c>
      <c r="BB9" s="54">
        <f t="shared" si="19"/>
        <v>1</v>
      </c>
      <c r="BC9" s="54">
        <f t="shared" si="20"/>
        <v>1</v>
      </c>
      <c r="BD9" s="54">
        <f t="shared" si="21"/>
        <v>0</v>
      </c>
      <c r="BE9" s="54" t="str">
        <f t="shared" si="6"/>
        <v>HD</v>
      </c>
      <c r="BF9" s="55" t="str">
        <f t="shared" si="7"/>
        <v>AD</v>
      </c>
      <c r="BG9" s="86">
        <f t="shared" ca="1" si="8"/>
        <v>4.3426938336637973E-2</v>
      </c>
      <c r="BH9" s="86">
        <f t="shared" ca="1" si="9"/>
        <v>4.0440282416671053E-2</v>
      </c>
      <c r="BI9" s="87">
        <f t="shared" ca="1" si="22"/>
        <v>0.91613277924669101</v>
      </c>
    </row>
    <row r="10" spans="1:61" x14ac:dyDescent="0.2">
      <c r="A10" s="52">
        <f>'ISL 8'!B11</f>
        <v>44526</v>
      </c>
      <c r="B10" s="54">
        <f>'ISL 8'!C11</f>
        <v>8</v>
      </c>
      <c r="C10" s="54" t="str">
        <f>'ISL 8'!D11</f>
        <v>Goa</v>
      </c>
      <c r="D10" s="54">
        <f>IF('ISL 8'!E11&lt;&gt;"",'ISL 8'!E11,INDEX($AK$2:$AP$2,,MATCH($AW10,AK10:AP10,0)))</f>
        <v>1</v>
      </c>
      <c r="E10" s="54" t="str">
        <f>'ISL 8'!G11</f>
        <v>Jamshedpur</v>
      </c>
      <c r="F10" s="54">
        <f>IF('ISL 8'!F11&lt;&gt;"",'ISL 8'!F11,INDEX($AQ$2:$AV$2,,MATCH($AX10,AQ10:AV10,0)))</f>
        <v>3</v>
      </c>
      <c r="G10" s="55">
        <f>VLOOKUP($C10,'ISL Total'!$D$5:$AH$15,25,0)</f>
        <v>1.7934931050517995</v>
      </c>
      <c r="H10" s="55">
        <f>VLOOKUP($C10,'ISL Total'!$D$5:$AH$15,28,0)</f>
        <v>2.0847265162792477</v>
      </c>
      <c r="I10" s="55">
        <f>VLOOKUP($E10,'ISL Total'!$D$5:$AH$15,26,0)</f>
        <v>2.1921504637581588</v>
      </c>
      <c r="J10" s="55">
        <f>VLOOKUP(E10,'ISL Total'!$D$5:$AH$15,29,0)</f>
        <v>1.9716600419922359</v>
      </c>
      <c r="K10" s="55">
        <f t="shared" si="10"/>
        <v>5.0631041339500307</v>
      </c>
      <c r="L10" s="55">
        <f t="shared" si="0"/>
        <v>6.1219335425865689</v>
      </c>
      <c r="M10" s="55">
        <f t="shared" ca="1" si="11"/>
        <v>4.7932480942670397</v>
      </c>
      <c r="N10" s="55">
        <v>5.3287639756272425</v>
      </c>
      <c r="O10" s="55">
        <v>4.9409368669039377</v>
      </c>
      <c r="P10" s="55">
        <v>5.22700643061967</v>
      </c>
      <c r="Q10" s="55">
        <v>4.662677194682467</v>
      </c>
      <c r="R10" s="55">
        <v>5.1956972786606634</v>
      </c>
      <c r="S10" s="55">
        <v>4.5944562801698901</v>
      </c>
      <c r="T10" s="55">
        <v>4.606918212959366</v>
      </c>
      <c r="U10" s="55">
        <v>4.7550211356011332</v>
      </c>
      <c r="V10" s="55">
        <v>5.0452920272889097</v>
      </c>
      <c r="W10" s="55">
        <v>4.9195968813953481</v>
      </c>
      <c r="X10" s="55">
        <f t="shared" ca="1" si="12"/>
        <v>4.9154194889250604</v>
      </c>
      <c r="Y10" s="55">
        <f t="shared" ca="1" si="13"/>
        <v>6.4006327361147104</v>
      </c>
      <c r="Z10" s="55">
        <v>6.0520814658647488</v>
      </c>
      <c r="AA10" s="55">
        <v>6.3229649263682415</v>
      </c>
      <c r="AB10" s="55">
        <v>6.6831090327905418</v>
      </c>
      <c r="AC10" s="55">
        <v>6.2232531383158207</v>
      </c>
      <c r="AD10" s="55">
        <v>6.2398375063431795</v>
      </c>
      <c r="AE10" s="55">
        <v>6.0364462655339164</v>
      </c>
      <c r="AF10" s="55">
        <v>6.2147897103189669</v>
      </c>
      <c r="AG10" s="55">
        <v>6.1311600063576144</v>
      </c>
      <c r="AH10" s="55">
        <v>6.4901061934285131</v>
      </c>
      <c r="AI10" s="55">
        <v>5.8766134889144164</v>
      </c>
      <c r="AJ10" s="55">
        <f t="shared" ca="1" si="14"/>
        <v>6.2428176791227887</v>
      </c>
      <c r="AK10" s="55">
        <f t="shared" ca="1" si="15"/>
        <v>7.3326412853467844E-3</v>
      </c>
      <c r="AL10" s="55">
        <f t="shared" ca="1" si="15"/>
        <v>3.6043007879290087E-2</v>
      </c>
      <c r="AM10" s="55">
        <f t="shared" ca="1" si="15"/>
        <v>8.8583251684671044E-2</v>
      </c>
      <c r="AN10" s="55">
        <f t="shared" ca="1" si="15"/>
        <v>0.14514128057439518</v>
      </c>
      <c r="AO10" s="55">
        <f t="shared" ca="1" si="15"/>
        <v>0.17835756979573064</v>
      </c>
      <c r="AP10" s="55">
        <f t="shared" ca="1" si="15"/>
        <v>0.17534045491424918</v>
      </c>
      <c r="AQ10" s="55">
        <f t="shared" ca="1" si="16"/>
        <v>0.15363874194259472</v>
      </c>
      <c r="AR10" s="55">
        <f t="shared" ca="1" si="2"/>
        <v>0.12305240184764087</v>
      </c>
      <c r="AS10" s="55">
        <f t="shared" ca="1" si="2"/>
        <v>7.8844142611534052E-2</v>
      </c>
      <c r="AT10" s="55">
        <f t="shared" ca="1" si="2"/>
        <v>3.7888729095134924E-2</v>
      </c>
      <c r="AU10" s="55">
        <f t="shared" ca="1" si="2"/>
        <v>1.213834234558612E-2</v>
      </c>
      <c r="AV10" s="55">
        <f t="shared" ca="1" si="2"/>
        <v>1.9443691886404317E-3</v>
      </c>
      <c r="AW10" s="55">
        <f t="shared" ca="1" si="17"/>
        <v>0.17835756979573064</v>
      </c>
      <c r="AX10" s="55">
        <f t="shared" ca="1" si="18"/>
        <v>0.15363874194259472</v>
      </c>
      <c r="AY10" s="54">
        <f t="shared" ca="1" si="3"/>
        <v>4</v>
      </c>
      <c r="AZ10" s="54">
        <f t="shared" ca="1" si="4"/>
        <v>5</v>
      </c>
      <c r="BA10" s="54" t="str">
        <f t="shared" si="5"/>
        <v>GoaJamshedpur</v>
      </c>
      <c r="BB10" s="54">
        <f t="shared" si="19"/>
        <v>0</v>
      </c>
      <c r="BC10" s="54">
        <f t="shared" si="20"/>
        <v>3</v>
      </c>
      <c r="BD10" s="54">
        <f t="shared" si="21"/>
        <v>2</v>
      </c>
      <c r="BE10" s="54" t="str">
        <f t="shared" si="6"/>
        <v>HL</v>
      </c>
      <c r="BF10" s="55" t="str">
        <f t="shared" si="7"/>
        <v>AW</v>
      </c>
      <c r="BG10" s="86">
        <f t="shared" ca="1" si="8"/>
        <v>7.6706052252312126E-2</v>
      </c>
      <c r="BH10" s="86">
        <f t="shared" ca="1" si="9"/>
        <v>6.4138020636205398E-2</v>
      </c>
      <c r="BI10" s="87">
        <f t="shared" ca="1" si="22"/>
        <v>0.85915592711148248</v>
      </c>
    </row>
    <row r="11" spans="1:61" x14ac:dyDescent="0.2">
      <c r="A11" s="52">
        <f>'ISL 8'!B12</f>
        <v>44527</v>
      </c>
      <c r="B11" s="54">
        <f>'ISL 8'!C12</f>
        <v>9</v>
      </c>
      <c r="C11" s="54" t="str">
        <f>'ISL 8'!D12</f>
        <v>East Bengal</v>
      </c>
      <c r="D11" s="54">
        <f>IF('ISL 8'!E12&lt;&gt;"",'ISL 8'!E12,INDEX($AK$2:$AP$2,,MATCH($AW11,AK11:AP11,0)))</f>
        <v>0</v>
      </c>
      <c r="E11" s="54" t="str">
        <f>'ISL 8'!G12</f>
        <v>ATK-MB</v>
      </c>
      <c r="F11" s="54">
        <f>IF('ISL 8'!F12&lt;&gt;"",'ISL 8'!F12,INDEX($AQ$2:$AV$2,,MATCH($AX11,AQ11:AV11,0)))</f>
        <v>3</v>
      </c>
      <c r="G11" s="55">
        <f>VLOOKUP($C11,'ISL Total'!$D$5:$AH$15,25,0)</f>
        <v>2.2983657473042753</v>
      </c>
      <c r="H11" s="55">
        <f>VLOOKUP($C11,'ISL Total'!$D$5:$AH$15,28,0)</f>
        <v>2.2682850490476736</v>
      </c>
      <c r="I11" s="55">
        <f>VLOOKUP($E11,'ISL Total'!$D$5:$AH$15,26,0)</f>
        <v>2.3848410244665827</v>
      </c>
      <c r="J11" s="55">
        <f>VLOOKUP(E11,'ISL Total'!$D$5:$AH$15,29,0)</f>
        <v>1.8807593937667644</v>
      </c>
      <c r="K11" s="55">
        <f t="shared" si="10"/>
        <v>6.1892424224869913</v>
      </c>
      <c r="L11" s="55">
        <f t="shared" si="0"/>
        <v>7.246465431424312</v>
      </c>
      <c r="M11" s="55">
        <f t="shared" ca="1" si="11"/>
        <v>6.3458430670229635</v>
      </c>
      <c r="N11" s="55">
        <v>6.4141775196860591</v>
      </c>
      <c r="O11" s="55">
        <v>6.6136301322893329</v>
      </c>
      <c r="P11" s="55">
        <v>5.8938011113236826</v>
      </c>
      <c r="Q11" s="55">
        <v>5.8514339647962217</v>
      </c>
      <c r="R11" s="55">
        <v>6.6082204194695331</v>
      </c>
      <c r="S11" s="55">
        <v>5.7919442986923224</v>
      </c>
      <c r="T11" s="55">
        <v>6.0610240173917518</v>
      </c>
      <c r="U11" s="55">
        <v>6.5554223017677939</v>
      </c>
      <c r="V11" s="55">
        <v>6.1848195331875964</v>
      </c>
      <c r="W11" s="55">
        <v>6.1775944127202891</v>
      </c>
      <c r="X11" s="55">
        <f t="shared" ca="1" si="12"/>
        <v>6.2270827980315948</v>
      </c>
      <c r="Y11" s="55">
        <f t="shared" ca="1" si="13"/>
        <v>7.0799091707962134</v>
      </c>
      <c r="Z11" s="55">
        <v>7.2801151829061519</v>
      </c>
      <c r="AA11" s="55">
        <v>7.4076327489905571</v>
      </c>
      <c r="AB11" s="55">
        <v>6.800940156116619</v>
      </c>
      <c r="AC11" s="55">
        <v>7.1277058813202085</v>
      </c>
      <c r="AD11" s="55">
        <v>7.0257134549776961</v>
      </c>
      <c r="AE11" s="55">
        <v>7.4269665385714188</v>
      </c>
      <c r="AF11" s="55">
        <v>7.2225795752118804</v>
      </c>
      <c r="AG11" s="55">
        <v>7.6456147852805145</v>
      </c>
      <c r="AH11" s="55">
        <v>7.1374896092312214</v>
      </c>
      <c r="AI11" s="55">
        <v>6.8878657989305436</v>
      </c>
      <c r="AJ11" s="55">
        <f t="shared" ca="1" si="14"/>
        <v>7.1856848093030035</v>
      </c>
      <c r="AK11" s="55">
        <f t="shared" ca="1" si="15"/>
        <v>1.9752055738281211E-3</v>
      </c>
      <c r="AL11" s="55">
        <f t="shared" ca="1" si="15"/>
        <v>1.2299768651361218E-2</v>
      </c>
      <c r="AM11" s="55">
        <f t="shared" ca="1" si="15"/>
        <v>3.8295838894329852E-2</v>
      </c>
      <c r="AN11" s="55">
        <f t="shared" ca="1" si="15"/>
        <v>7.9490453205023584E-2</v>
      </c>
      <c r="AO11" s="55">
        <f t="shared" ca="1" si="15"/>
        <v>0.12374840844018445</v>
      </c>
      <c r="AP11" s="55">
        <f t="shared" ca="1" si="15"/>
        <v>0.15411831709633206</v>
      </c>
      <c r="AQ11" s="55">
        <f t="shared" ca="1" si="16"/>
        <v>0.1209083543650902</v>
      </c>
      <c r="AR11" s="55">
        <f t="shared" ca="1" si="2"/>
        <v>8.4131406799638167E-2</v>
      </c>
      <c r="AS11" s="55">
        <f t="shared" ca="1" si="2"/>
        <v>4.6832784366337213E-2</v>
      </c>
      <c r="AT11" s="55">
        <f t="shared" ca="1" si="2"/>
        <v>1.955253491178939E-2</v>
      </c>
      <c r="AU11" s="55">
        <f t="shared" ca="1" si="2"/>
        <v>5.4420797545908332E-3</v>
      </c>
      <c r="AV11" s="55">
        <f t="shared" ca="1" si="2"/>
        <v>7.5735018985875952E-4</v>
      </c>
      <c r="AW11" s="55">
        <f t="shared" ca="1" si="17"/>
        <v>0.15411831709633206</v>
      </c>
      <c r="AX11" s="55">
        <f t="shared" ca="1" si="18"/>
        <v>0.1209083543650902</v>
      </c>
      <c r="AY11" s="54">
        <f t="shared" ca="1" si="3"/>
        <v>5</v>
      </c>
      <c r="AZ11" s="54">
        <f t="shared" ca="1" si="4"/>
        <v>5</v>
      </c>
      <c r="BA11" s="54" t="str">
        <f t="shared" si="5"/>
        <v>East BengalATK-MB</v>
      </c>
      <c r="BB11" s="54">
        <f t="shared" si="19"/>
        <v>0</v>
      </c>
      <c r="BC11" s="54">
        <f t="shared" si="20"/>
        <v>3</v>
      </c>
      <c r="BD11" s="54">
        <f t="shared" si="21"/>
        <v>3</v>
      </c>
      <c r="BE11" s="54" t="str">
        <f t="shared" si="6"/>
        <v>HL</v>
      </c>
      <c r="BF11" s="55" t="str">
        <f t="shared" si="7"/>
        <v>AW</v>
      </c>
      <c r="BG11" s="86">
        <f t="shared" ca="1" si="8"/>
        <v>3.5428840381128535E-2</v>
      </c>
      <c r="BH11" s="86">
        <f t="shared" ca="1" si="9"/>
        <v>3.3585292014294596E-2</v>
      </c>
      <c r="BI11" s="87">
        <f t="shared" ca="1" si="22"/>
        <v>0.93098586760457691</v>
      </c>
    </row>
    <row r="12" spans="1:61" x14ac:dyDescent="0.2">
      <c r="A12" s="52">
        <f>'ISL 8'!B13</f>
        <v>44527</v>
      </c>
      <c r="B12" s="54">
        <f>'ISL 8'!C13</f>
        <v>10</v>
      </c>
      <c r="C12" s="54" t="str">
        <f>'ISL 8'!D13</f>
        <v>Mumbai City</v>
      </c>
      <c r="D12" s="54">
        <f>IF('ISL 8'!E13&lt;&gt;"",'ISL 8'!E13,INDEX($AK$2:$AP$2,,MATCH($AW12,AK12:AP12,0)))</f>
        <v>1</v>
      </c>
      <c r="E12" s="54" t="str">
        <f>'ISL 8'!G13</f>
        <v>Hyderabad</v>
      </c>
      <c r="F12" s="54">
        <f>IF('ISL 8'!F13&lt;&gt;"",'ISL 8'!F13,INDEX($AQ$2:$AV$2,,MATCH($AX12,AQ12:AV12,0)))</f>
        <v>3</v>
      </c>
      <c r="G12" s="55">
        <f>VLOOKUP($C12,'ISL Total'!$D$5:$AH$15,25,0)</f>
        <v>1.711666848062984</v>
      </c>
      <c r="H12" s="55">
        <f>VLOOKUP($C12,'ISL Total'!$D$5:$AH$15,28,0)</f>
        <v>2.0663350700408412</v>
      </c>
      <c r="I12" s="55">
        <f>VLOOKUP($E12,'ISL Total'!$D$5:$AH$15,26,0)</f>
        <v>2.2018340394671556</v>
      </c>
      <c r="J12" s="55">
        <f>VLOOKUP(E12,'ISL Total'!$D$5:$AH$15,29,0)</f>
        <v>1.4450563501928062</v>
      </c>
      <c r="K12" s="55">
        <f t="shared" si="10"/>
        <v>3.5415154054694935</v>
      </c>
      <c r="L12" s="55">
        <f t="shared" si="0"/>
        <v>6.0947302508584507</v>
      </c>
      <c r="M12" s="55">
        <f t="shared" ca="1" si="11"/>
        <v>3.4502643832681303</v>
      </c>
      <c r="N12" s="55">
        <v>4.0269444802072858</v>
      </c>
      <c r="O12" s="55">
        <v>3.2078376396102062</v>
      </c>
      <c r="P12" s="55">
        <v>3.4047238233264641</v>
      </c>
      <c r="Q12" s="55">
        <v>3.814069316866167</v>
      </c>
      <c r="R12" s="55">
        <v>3.8001672840274772</v>
      </c>
      <c r="S12" s="55">
        <v>3.4186650939527854</v>
      </c>
      <c r="T12" s="55">
        <v>3.4065890903631875</v>
      </c>
      <c r="U12" s="55">
        <v>3.4017221012053516</v>
      </c>
      <c r="V12" s="55">
        <v>3.4716050507362355</v>
      </c>
      <c r="W12" s="55">
        <v>3.1468750838911261</v>
      </c>
      <c r="X12" s="55">
        <f t="shared" ca="1" si="12"/>
        <v>3.5044966679504013</v>
      </c>
      <c r="Y12" s="55">
        <f t="shared" ca="1" si="13"/>
        <v>5.9964587974251113</v>
      </c>
      <c r="Z12" s="55">
        <v>6.0050625727758868</v>
      </c>
      <c r="AA12" s="55">
        <v>6.4889840616640413</v>
      </c>
      <c r="AB12" s="55">
        <v>6.1025897480339353</v>
      </c>
      <c r="AC12" s="55">
        <v>6.5278801777514621</v>
      </c>
      <c r="AD12" s="55">
        <v>5.9001095083071844</v>
      </c>
      <c r="AE12" s="55">
        <v>5.882024265623258</v>
      </c>
      <c r="AF12" s="55">
        <v>6.2021048068637956</v>
      </c>
      <c r="AG12" s="55">
        <v>5.7891875540766344</v>
      </c>
      <c r="AH12" s="55">
        <v>6.0876040538913267</v>
      </c>
      <c r="AI12" s="55">
        <v>5.9297305005712984</v>
      </c>
      <c r="AJ12" s="55">
        <f t="shared" ca="1" si="14"/>
        <v>6.0828850951803579</v>
      </c>
      <c r="AK12" s="55">
        <f t="shared" ca="1" si="15"/>
        <v>3.0061900654895078E-2</v>
      </c>
      <c r="AL12" s="55">
        <f t="shared" ca="1" si="15"/>
        <v>0.10535183067733578</v>
      </c>
      <c r="AM12" s="55">
        <f t="shared" ca="1" si="15"/>
        <v>0.18460256978559911</v>
      </c>
      <c r="AN12" s="55">
        <f t="shared" ca="1" si="15"/>
        <v>0.21564636356957115</v>
      </c>
      <c r="AO12" s="55">
        <f t="shared" ca="1" si="15"/>
        <v>0.18893299064629573</v>
      </c>
      <c r="AP12" s="55">
        <f t="shared" ca="1" si="15"/>
        <v>0.13242300723716952</v>
      </c>
      <c r="AQ12" s="55">
        <f t="shared" ca="1" si="16"/>
        <v>0.15834464728141104</v>
      </c>
      <c r="AR12" s="55">
        <f t="shared" ca="1" si="2"/>
        <v>0.13015587571009027</v>
      </c>
      <c r="AS12" s="55">
        <f t="shared" ca="1" si="2"/>
        <v>8.5588252070200349E-2</v>
      </c>
      <c r="AT12" s="55">
        <f t="shared" ca="1" si="2"/>
        <v>4.2211015364081596E-2</v>
      </c>
      <c r="AU12" s="55">
        <f t="shared" ca="1" si="2"/>
        <v>1.3878616710194502E-2</v>
      </c>
      <c r="AV12" s="55">
        <f t="shared" ca="1" si="2"/>
        <v>2.2815845594701305E-3</v>
      </c>
      <c r="AW12" s="55">
        <f t="shared" ca="1" si="17"/>
        <v>0.21564636356957115</v>
      </c>
      <c r="AX12" s="55">
        <f t="shared" ca="1" si="18"/>
        <v>0.15834464728141104</v>
      </c>
      <c r="AY12" s="54">
        <f t="shared" ca="1" si="3"/>
        <v>3</v>
      </c>
      <c r="AZ12" s="54">
        <f t="shared" ca="1" si="4"/>
        <v>5</v>
      </c>
      <c r="BA12" s="54" t="str">
        <f t="shared" si="5"/>
        <v>Mumbai CityHyderabad</v>
      </c>
      <c r="BB12" s="54">
        <f t="shared" si="19"/>
        <v>0</v>
      </c>
      <c r="BC12" s="54">
        <f t="shared" si="20"/>
        <v>3</v>
      </c>
      <c r="BD12" s="54">
        <f t="shared" si="21"/>
        <v>2</v>
      </c>
      <c r="BE12" s="54" t="str">
        <f t="shared" si="6"/>
        <v>HL</v>
      </c>
      <c r="BF12" s="55" t="str">
        <f t="shared" si="7"/>
        <v>AW</v>
      </c>
      <c r="BG12" s="86">
        <f t="shared" ca="1" si="8"/>
        <v>7.9308995588264611E-2</v>
      </c>
      <c r="BH12" s="86">
        <f t="shared" ca="1" si="9"/>
        <v>7.3338996899742243E-2</v>
      </c>
      <c r="BI12" s="87">
        <f t="shared" ca="1" si="22"/>
        <v>0.84735200751199313</v>
      </c>
    </row>
    <row r="13" spans="1:61" x14ac:dyDescent="0.2">
      <c r="A13" s="52">
        <f>'ISL 8'!B14</f>
        <v>44528</v>
      </c>
      <c r="B13" s="54">
        <f>'ISL 8'!C14</f>
        <v>11</v>
      </c>
      <c r="C13" s="54" t="str">
        <f>'ISL 8'!D14</f>
        <v>Bengaluru</v>
      </c>
      <c r="D13" s="54">
        <f>IF('ISL 8'!E14&lt;&gt;"",'ISL 8'!E14,INDEX($AK$2:$AP$2,,MATCH($AW13,AK13:AP13,0)))</f>
        <v>1</v>
      </c>
      <c r="E13" s="54" t="str">
        <f>'ISL 8'!G14</f>
        <v>Kerala Blasters</v>
      </c>
      <c r="F13" s="54">
        <f>IF('ISL 8'!F14&lt;&gt;"",'ISL 8'!F14,INDEX($AQ$2:$AV$2,,MATCH($AX13,AQ13:AV13,0)))</f>
        <v>1</v>
      </c>
      <c r="G13" s="55">
        <f>VLOOKUP($C13,'ISL Total'!$D$5:$AH$15,25,0)</f>
        <v>2.2973875558619734</v>
      </c>
      <c r="H13" s="55">
        <f>VLOOKUP($C13,'ISL Total'!$D$5:$AH$15,28,0)</f>
        <v>1.7201477155616627</v>
      </c>
      <c r="I13" s="55">
        <f>VLOOKUP($E13,'ISL Total'!$D$5:$AH$15,26,0)</f>
        <v>2.1526909424023817</v>
      </c>
      <c r="J13" s="55">
        <f>VLOOKUP(E13,'ISL Total'!$D$5:$AH$15,29,0)</f>
        <v>1.99017477973497</v>
      </c>
      <c r="K13" s="55">
        <f t="shared" si="10"/>
        <v>6.5465214615793892</v>
      </c>
      <c r="L13" s="55">
        <f t="shared" si="0"/>
        <v>4.9603987246591261</v>
      </c>
      <c r="M13" s="55">
        <f t="shared" ca="1" si="11"/>
        <v>6.8660401351054068</v>
      </c>
      <c r="N13" s="55">
        <v>6.6274146110958485</v>
      </c>
      <c r="O13" s="55">
        <v>6.6266301323736627</v>
      </c>
      <c r="P13" s="55">
        <v>6.7207944418334913</v>
      </c>
      <c r="Q13" s="55">
        <v>6.8394478146525479</v>
      </c>
      <c r="R13" s="55">
        <v>6.7701122850354691</v>
      </c>
      <c r="S13" s="55">
        <v>6.5982824031929885</v>
      </c>
      <c r="T13" s="55">
        <v>6.1841791503712384</v>
      </c>
      <c r="U13" s="55">
        <v>6.6932128104990332</v>
      </c>
      <c r="V13" s="55">
        <v>6.8173527084888796</v>
      </c>
      <c r="W13" s="55">
        <v>6.1883403328486102</v>
      </c>
      <c r="X13" s="55">
        <f t="shared" ca="1" si="12"/>
        <v>6.6301642568633801</v>
      </c>
      <c r="Y13" s="55">
        <f t="shared" ca="1" si="13"/>
        <v>4.9519004722049207</v>
      </c>
      <c r="Z13" s="55">
        <v>4.8613793133269434</v>
      </c>
      <c r="AA13" s="55">
        <v>4.8322305607231906</v>
      </c>
      <c r="AB13" s="55">
        <v>4.6688415273695796</v>
      </c>
      <c r="AC13" s="55">
        <v>4.8219935855940772</v>
      </c>
      <c r="AD13" s="55">
        <v>5.2691809301121033</v>
      </c>
      <c r="AE13" s="55">
        <v>4.9770492724092934</v>
      </c>
      <c r="AF13" s="55">
        <v>5.5580310423308568</v>
      </c>
      <c r="AG13" s="55">
        <v>5.2700854765402338</v>
      </c>
      <c r="AH13" s="55">
        <v>4.6453069090449359</v>
      </c>
      <c r="AI13" s="55">
        <v>4.9327584099584918</v>
      </c>
      <c r="AJ13" s="55">
        <f t="shared" ca="1" si="14"/>
        <v>4.9807961363286015</v>
      </c>
      <c r="AK13" s="55">
        <f t="shared" ca="1" si="15"/>
        <v>1.3199462579810768E-3</v>
      </c>
      <c r="AL13" s="55">
        <f t="shared" ca="1" si="15"/>
        <v>8.7514605006467072E-3</v>
      </c>
      <c r="AM13" s="55">
        <f t="shared" ca="1" si="15"/>
        <v>2.9011810303369748E-2</v>
      </c>
      <c r="AN13" s="55">
        <f t="shared" ca="1" si="15"/>
        <v>6.4117689233434277E-2</v>
      </c>
      <c r="AO13" s="55">
        <f t="shared" ca="1" si="15"/>
        <v>0.10627770284704746</v>
      </c>
      <c r="AP13" s="55">
        <f t="shared" ca="1" si="15"/>
        <v>0.14092772534360834</v>
      </c>
      <c r="AQ13" s="55">
        <f t="shared" ca="1" si="16"/>
        <v>0.1754608822380293</v>
      </c>
      <c r="AR13" s="55">
        <f t="shared" ca="1" si="2"/>
        <v>0.1761373859073094</v>
      </c>
      <c r="AS13" s="55">
        <f t="shared" ca="1" si="2"/>
        <v>0.14145319831310513</v>
      </c>
      <c r="AT13" s="55">
        <f t="shared" ca="1" si="2"/>
        <v>8.5199149558471063E-2</v>
      </c>
      <c r="AU13" s="55">
        <f t="shared" ca="1" si="2"/>
        <v>3.4211056717238897E-2</v>
      </c>
      <c r="AV13" s="55">
        <f t="shared" ca="1" si="2"/>
        <v>6.8685920444951669E-3</v>
      </c>
      <c r="AW13" s="55">
        <f t="shared" ca="1" si="17"/>
        <v>0.14092772534360834</v>
      </c>
      <c r="AX13" s="55">
        <f t="shared" ca="1" si="18"/>
        <v>0.1761373859073094</v>
      </c>
      <c r="AY13" s="54">
        <f t="shared" ca="1" si="3"/>
        <v>5</v>
      </c>
      <c r="AZ13" s="54">
        <f t="shared" ca="1" si="4"/>
        <v>4</v>
      </c>
      <c r="BA13" s="54" t="str">
        <f t="shared" si="5"/>
        <v>BengaluruKerala Blasters</v>
      </c>
      <c r="BB13" s="54">
        <f t="shared" si="19"/>
        <v>1</v>
      </c>
      <c r="BC13" s="54">
        <f t="shared" si="20"/>
        <v>1</v>
      </c>
      <c r="BD13" s="54">
        <f t="shared" si="21"/>
        <v>0</v>
      </c>
      <c r="BE13" s="54" t="str">
        <f t="shared" si="6"/>
        <v>HD</v>
      </c>
      <c r="BF13" s="55" t="str">
        <f t="shared" si="7"/>
        <v>AD</v>
      </c>
      <c r="BG13" s="86">
        <f t="shared" ca="1" si="8"/>
        <v>0.10035605394860651</v>
      </c>
      <c r="BH13" s="86">
        <f t="shared" ca="1" si="9"/>
        <v>5.5296676439727799E-2</v>
      </c>
      <c r="BI13" s="87">
        <f t="shared" ca="1" si="22"/>
        <v>0.84434726961166562</v>
      </c>
    </row>
    <row r="14" spans="1:61" x14ac:dyDescent="0.2">
      <c r="A14" s="52">
        <f>'ISL 8'!B15</f>
        <v>44529</v>
      </c>
      <c r="B14" s="54">
        <f>'ISL 8'!C15</f>
        <v>12</v>
      </c>
      <c r="C14" s="54" t="str">
        <f>'ISL 8'!D15</f>
        <v>NorthEast United</v>
      </c>
      <c r="D14" s="54">
        <f>IF('ISL 8'!E15&lt;&gt;"",'ISL 8'!E15,INDEX($AK$2:$AP$2,,MATCH($AW14,AK14:AP14,0)))</f>
        <v>1</v>
      </c>
      <c r="E14" s="54" t="str">
        <f>'ISL 8'!G15</f>
        <v>Chennaiyin</v>
      </c>
      <c r="F14" s="54">
        <f>IF('ISL 8'!F15&lt;&gt;"",'ISL 8'!F15,INDEX($AQ$2:$AV$2,,MATCH($AX14,AQ14:AV14,0)))</f>
        <v>2</v>
      </c>
      <c r="G14" s="55">
        <f>VLOOKUP($C14,'ISL Total'!$D$5:$AH$15,25,0)</f>
        <v>1.9869978963421873</v>
      </c>
      <c r="H14" s="55">
        <f>VLOOKUP($C14,'ISL Total'!$D$5:$AH$15,28,0)</f>
        <v>2.4341100805374252</v>
      </c>
      <c r="I14" s="55">
        <f>VLOOKUP($E14,'ISL Total'!$D$5:$AH$15,26,0)</f>
        <v>1.4832889614107407</v>
      </c>
      <c r="J14" s="55">
        <f>VLOOKUP(E14,'ISL Total'!$D$5:$AH$15,29,0)</f>
        <v>1.6817905576540886</v>
      </c>
      <c r="K14" s="55">
        <f t="shared" si="10"/>
        <v>4.7846968891641097</v>
      </c>
      <c r="L14" s="55">
        <f t="shared" si="0"/>
        <v>4.8365439693143228</v>
      </c>
      <c r="M14" s="55">
        <f t="shared" ca="1" si="11"/>
        <v>4.3322391712350941</v>
      </c>
      <c r="N14" s="55">
        <v>5.022293816697017</v>
      </c>
      <c r="O14" s="55">
        <v>4.5617852808287003</v>
      </c>
      <c r="P14" s="55">
        <v>4.3242401225261489</v>
      </c>
      <c r="Q14" s="55">
        <v>4.6900936819457133</v>
      </c>
      <c r="R14" s="55">
        <v>5.0815087441601019</v>
      </c>
      <c r="S14" s="55">
        <v>4.7078653834912512</v>
      </c>
      <c r="T14" s="55">
        <v>4.982923766049062</v>
      </c>
      <c r="U14" s="55">
        <v>4.9916110516976762</v>
      </c>
      <c r="V14" s="55">
        <v>4.7015864257156972</v>
      </c>
      <c r="W14" s="55">
        <v>5.0279239157903177</v>
      </c>
      <c r="X14" s="55">
        <f t="shared" ca="1" si="12"/>
        <v>4.7658246691033437</v>
      </c>
      <c r="Y14" s="55">
        <f t="shared" ca="1" si="13"/>
        <v>4.797137003695771</v>
      </c>
      <c r="Z14" s="55">
        <v>4.7972401568639143</v>
      </c>
      <c r="AA14" s="55">
        <v>5.1278983506538571</v>
      </c>
      <c r="AB14" s="55">
        <v>4.6982426747300465</v>
      </c>
      <c r="AC14" s="55">
        <v>5.2035389486505945</v>
      </c>
      <c r="AD14" s="55">
        <v>4.5689562067064777</v>
      </c>
      <c r="AE14" s="55">
        <v>5.0264526829899303</v>
      </c>
      <c r="AF14" s="55">
        <v>5.2827419658928543</v>
      </c>
      <c r="AG14" s="55">
        <v>5.0607819404855316</v>
      </c>
      <c r="AH14" s="55">
        <v>4.9364147952783632</v>
      </c>
      <c r="AI14" s="55">
        <v>5.4899242017072947</v>
      </c>
      <c r="AJ14" s="55">
        <f t="shared" ca="1" si="14"/>
        <v>4.9990299025140583</v>
      </c>
      <c r="AK14" s="55">
        <f t="shared" ca="1" si="15"/>
        <v>8.5158625771186332E-3</v>
      </c>
      <c r="AL14" s="55">
        <f t="shared" ca="1" si="15"/>
        <v>4.0585107948725961E-2</v>
      </c>
      <c r="AM14" s="55">
        <f t="shared" ca="1" si="15"/>
        <v>9.6710754330130197E-2</v>
      </c>
      <c r="AN14" s="55">
        <f t="shared" ca="1" si="15"/>
        <v>0.15363549958470921</v>
      </c>
      <c r="AO14" s="55">
        <f t="shared" ca="1" si="15"/>
        <v>0.18304996349270589</v>
      </c>
      <c r="AP14" s="55">
        <f t="shared" ca="1" si="15"/>
        <v>0.17447680633840082</v>
      </c>
      <c r="AQ14" s="55">
        <f t="shared" ca="1" si="16"/>
        <v>0.17546735325267179</v>
      </c>
      <c r="AR14" s="55">
        <f t="shared" ca="1" si="2"/>
        <v>0.17550140394682145</v>
      </c>
      <c r="AS14" s="55">
        <f t="shared" ca="1" si="2"/>
        <v>0.14042836899900127</v>
      </c>
      <c r="AT14" s="55">
        <f t="shared" ca="1" si="2"/>
        <v>8.4273372076677483E-2</v>
      </c>
      <c r="AU14" s="55">
        <f t="shared" ca="1" si="2"/>
        <v>3.371589037076797E-2</v>
      </c>
      <c r="AV14" s="55">
        <f t="shared" ca="1" si="2"/>
        <v>6.7444866360595167E-3</v>
      </c>
      <c r="AW14" s="55">
        <f t="shared" ca="1" si="17"/>
        <v>0.18304996349270589</v>
      </c>
      <c r="AX14" s="55">
        <f t="shared" ca="1" si="18"/>
        <v>0.17550140394682145</v>
      </c>
      <c r="AY14" s="54">
        <f t="shared" ca="1" si="3"/>
        <v>4</v>
      </c>
      <c r="AZ14" s="54">
        <f t="shared" ca="1" si="4"/>
        <v>4</v>
      </c>
      <c r="BA14" s="54" t="str">
        <f t="shared" si="5"/>
        <v>NorthEast UnitedChennaiyin</v>
      </c>
      <c r="BB14" s="54">
        <f t="shared" si="19"/>
        <v>0</v>
      </c>
      <c r="BC14" s="54">
        <f t="shared" si="20"/>
        <v>3</v>
      </c>
      <c r="BD14" s="54">
        <f t="shared" si="21"/>
        <v>1</v>
      </c>
      <c r="BE14" s="54" t="str">
        <f t="shared" si="6"/>
        <v>HL</v>
      </c>
      <c r="BF14" s="55" t="str">
        <f t="shared" si="7"/>
        <v>AW</v>
      </c>
      <c r="BG14" s="86">
        <f t="shared" ca="1" si="8"/>
        <v>0.14877369118267297</v>
      </c>
      <c r="BH14" s="86">
        <f t="shared" ca="1" si="9"/>
        <v>9.3891231179700066E-2</v>
      </c>
      <c r="BI14" s="87">
        <f t="shared" ca="1" si="22"/>
        <v>0.75733507763762697</v>
      </c>
    </row>
    <row r="15" spans="1:61" x14ac:dyDescent="0.2">
      <c r="A15" s="52">
        <f>'ISL 8'!B16</f>
        <v>44530</v>
      </c>
      <c r="B15" s="54">
        <f>'ISL 8'!C16</f>
        <v>13</v>
      </c>
      <c r="C15" s="54" t="str">
        <f>'ISL 8'!D16</f>
        <v>Odisha</v>
      </c>
      <c r="D15" s="54">
        <f>IF('ISL 8'!E16&lt;&gt;"",'ISL 8'!E16,INDEX($AK$2:$AP$2,,MATCH($AW15,AK15:AP15,0)))</f>
        <v>6</v>
      </c>
      <c r="E15" s="54" t="str">
        <f>'ISL 8'!G16</f>
        <v>East Bengal</v>
      </c>
      <c r="F15" s="54">
        <f>IF('ISL 8'!F16&lt;&gt;"",'ISL 8'!F16,INDEX($AQ$2:$AV$2,,MATCH($AX15,AQ15:AV15,0)))</f>
        <v>4</v>
      </c>
      <c r="G15" s="55">
        <f>VLOOKUP($C15,'ISL Total'!$D$5:$AH$15,25,0)</f>
        <v>1.4571180555555554</v>
      </c>
      <c r="H15" s="55">
        <f>VLOOKUP($C15,'ISL Total'!$D$5:$AH$15,28,0)</f>
        <v>1.7565140845070424</v>
      </c>
      <c r="I15" s="55">
        <f>VLOOKUP($E15,'ISL Total'!$D$5:$AH$15,26,0)</f>
        <v>2.2664839306843771</v>
      </c>
      <c r="J15" s="55">
        <f>VLOOKUP(E15,'ISL Total'!$D$5:$AH$15,29,0)</f>
        <v>2.3205343227457229</v>
      </c>
      <c r="K15" s="55">
        <f t="shared" si="10"/>
        <v>4.8413652582466593</v>
      </c>
      <c r="L15" s="55">
        <f t="shared" si="0"/>
        <v>5.3330228126747095</v>
      </c>
      <c r="M15" s="55">
        <f t="shared" ca="1" si="11"/>
        <v>4.8269620633404386</v>
      </c>
      <c r="N15" s="55">
        <v>5.1229364548804002</v>
      </c>
      <c r="O15" s="55">
        <v>4.7978604070543014</v>
      </c>
      <c r="P15" s="55">
        <v>4.82734251224643</v>
      </c>
      <c r="Q15" s="55">
        <v>4.1176564216208993</v>
      </c>
      <c r="R15" s="55">
        <v>4.2114109870999101</v>
      </c>
      <c r="S15" s="55">
        <v>4.7163019818065877</v>
      </c>
      <c r="T15" s="55">
        <v>4.6520291390752293</v>
      </c>
      <c r="U15" s="55">
        <v>4.8453833428869952</v>
      </c>
      <c r="V15" s="55">
        <v>4.9033476107112044</v>
      </c>
      <c r="W15" s="55">
        <v>4.9916037366464643</v>
      </c>
      <c r="X15" s="55">
        <f t="shared" ca="1" si="12"/>
        <v>4.7284395143062605</v>
      </c>
      <c r="Y15" s="55">
        <f t="shared" ca="1" si="13"/>
        <v>5.3682895391873933</v>
      </c>
      <c r="Z15" s="55">
        <v>5.5216033545455998</v>
      </c>
      <c r="AA15" s="55">
        <v>5.6228715389954473</v>
      </c>
      <c r="AB15" s="55">
        <v>4.5466224713217365</v>
      </c>
      <c r="AC15" s="55">
        <v>5.0694504781815297</v>
      </c>
      <c r="AD15" s="55">
        <v>5.5852016041879553</v>
      </c>
      <c r="AE15" s="55">
        <v>5.0057155516329237</v>
      </c>
      <c r="AF15" s="55">
        <v>5.5587905696158044</v>
      </c>
      <c r="AG15" s="55">
        <v>5.4588182437030213</v>
      </c>
      <c r="AH15" s="55">
        <v>5.3567355467255799</v>
      </c>
      <c r="AI15" s="55">
        <v>5.5267804454073106</v>
      </c>
      <c r="AJ15" s="55">
        <f t="shared" ca="1" si="14"/>
        <v>5.3291708494094818</v>
      </c>
      <c r="AK15" s="55">
        <f t="shared" ca="1" si="15"/>
        <v>8.8402553738413138E-3</v>
      </c>
      <c r="AL15" s="55">
        <f t="shared" ca="1" si="15"/>
        <v>4.180061282622953E-2</v>
      </c>
      <c r="AM15" s="55">
        <f t="shared" ca="1" si="15"/>
        <v>9.8825834704880433E-2</v>
      </c>
      <c r="AN15" s="55">
        <f t="shared" ca="1" si="15"/>
        <v>0.15576399395095183</v>
      </c>
      <c r="AO15" s="55">
        <f t="shared" ca="1" si="15"/>
        <v>0.18413015597596052</v>
      </c>
      <c r="AP15" s="55">
        <f t="shared" ca="1" si="15"/>
        <v>0.17412966105842134</v>
      </c>
      <c r="AQ15" s="55">
        <f t="shared" ca="1" si="16"/>
        <v>0.17365507467771646</v>
      </c>
      <c r="AR15" s="55">
        <f t="shared" ca="1" si="2"/>
        <v>0.1629287928505416</v>
      </c>
      <c r="AS15" s="55">
        <f t="shared" ca="1" si="2"/>
        <v>0.12229203938439726</v>
      </c>
      <c r="AT15" s="55">
        <f t="shared" ca="1" si="2"/>
        <v>6.8843001757739664E-2</v>
      </c>
      <c r="AU15" s="55">
        <f t="shared" ca="1" si="2"/>
        <v>2.5836289998234174E-2</v>
      </c>
      <c r="AV15" s="55">
        <f t="shared" ca="1" si="2"/>
        <v>4.8480881413469901E-3</v>
      </c>
      <c r="AW15" s="55">
        <f t="shared" ca="1" si="17"/>
        <v>0.18413015597596052</v>
      </c>
      <c r="AX15" s="55">
        <f t="shared" ca="1" si="18"/>
        <v>0.17365507467771646</v>
      </c>
      <c r="AY15" s="54">
        <f t="shared" ca="1" si="3"/>
        <v>4</v>
      </c>
      <c r="AZ15" s="54">
        <f t="shared" ca="1" si="4"/>
        <v>5</v>
      </c>
      <c r="BA15" s="54" t="str">
        <f t="shared" si="5"/>
        <v>OdishaEast Bengal</v>
      </c>
      <c r="BB15" s="54">
        <f t="shared" si="19"/>
        <v>3</v>
      </c>
      <c r="BC15" s="54">
        <f t="shared" si="20"/>
        <v>0</v>
      </c>
      <c r="BD15" s="54">
        <f t="shared" si="21"/>
        <v>2</v>
      </c>
      <c r="BE15" s="54" t="str">
        <f t="shared" si="6"/>
        <v>HW</v>
      </c>
      <c r="BF15" s="55" t="str">
        <f t="shared" si="7"/>
        <v>AL</v>
      </c>
      <c r="BG15" s="86">
        <f t="shared" ca="1" si="8"/>
        <v>0.12657756457993224</v>
      </c>
      <c r="BH15" s="86">
        <f t="shared" ca="1" si="9"/>
        <v>8.721359802279656E-2</v>
      </c>
      <c r="BI15" s="87">
        <f t="shared" ca="1" si="22"/>
        <v>0.78620883739727121</v>
      </c>
    </row>
    <row r="16" spans="1:61" x14ac:dyDescent="0.2">
      <c r="A16" s="52">
        <f>'ISL 8'!B17</f>
        <v>44531</v>
      </c>
      <c r="B16" s="54">
        <f>'ISL 8'!C17</f>
        <v>14</v>
      </c>
      <c r="C16" s="54" t="str">
        <f>'ISL 8'!D17</f>
        <v>ATK-MB</v>
      </c>
      <c r="D16" s="54">
        <f>IF('ISL 8'!E17&lt;&gt;"",'ISL 8'!E17,INDEX($AK$2:$AP$2,,MATCH($AW16,AK16:AP16,0)))</f>
        <v>1</v>
      </c>
      <c r="E16" s="54" t="str">
        <f>'ISL 8'!G17</f>
        <v>Mumbai City</v>
      </c>
      <c r="F16" s="54">
        <f>IF('ISL 8'!F17&lt;&gt;"",'ISL 8'!F17,INDEX($AQ$2:$AV$2,,MATCH($AX16,AQ16:AV16,0)))</f>
        <v>5</v>
      </c>
      <c r="G16" s="55">
        <f>VLOOKUP($C16,'ISL Total'!$D$5:$AH$15,25,0)</f>
        <v>2.0695986245708529</v>
      </c>
      <c r="H16" s="55">
        <f>VLOOKUP($C16,'ISL Total'!$D$5:$AH$15,28,0)</f>
        <v>1.8323600137409826</v>
      </c>
      <c r="I16" s="55">
        <f>VLOOKUP($E16,'ISL Total'!$D$5:$AH$15,26,0)</f>
        <v>2.4343333715027291</v>
      </c>
      <c r="J16" s="55">
        <f>VLOOKUP(E16,'ISL Total'!$D$5:$AH$15,29,0)</f>
        <v>1.9843487615958779</v>
      </c>
      <c r="K16" s="55">
        <f t="shared" si="10"/>
        <v>5.8801613724693489</v>
      </c>
      <c r="L16" s="55">
        <f t="shared" si="0"/>
        <v>5.9753041916155993</v>
      </c>
      <c r="M16" s="55">
        <f t="shared" ca="1" si="11"/>
        <v>5.8455573938644596</v>
      </c>
      <c r="N16" s="55">
        <v>5.7341324860867093</v>
      </c>
      <c r="O16" s="55">
        <v>5.8610765870612953</v>
      </c>
      <c r="P16" s="55">
        <v>5.8100456381588161</v>
      </c>
      <c r="Q16" s="55">
        <v>5.3496957478327971</v>
      </c>
      <c r="R16" s="55">
        <v>5.7147251220578905</v>
      </c>
      <c r="S16" s="55">
        <v>6.0539579704048077</v>
      </c>
      <c r="T16" s="55">
        <v>5.6623176830682009</v>
      </c>
      <c r="U16" s="55">
        <v>5.5857806488407107</v>
      </c>
      <c r="V16" s="55">
        <v>5.5475231222310839</v>
      </c>
      <c r="W16" s="55">
        <v>5.7382286857940334</v>
      </c>
      <c r="X16" s="55">
        <f t="shared" ca="1" si="12"/>
        <v>5.7184582804909825</v>
      </c>
      <c r="Y16" s="55">
        <f t="shared" ca="1" si="13"/>
        <v>5.5085325562344511</v>
      </c>
      <c r="Z16" s="55">
        <v>6.0055753642185605</v>
      </c>
      <c r="AA16" s="55">
        <v>5.82471446741057</v>
      </c>
      <c r="AB16" s="55">
        <v>6.1049667349932735</v>
      </c>
      <c r="AC16" s="55">
        <v>5.8146463440097111</v>
      </c>
      <c r="AD16" s="55">
        <v>6.3227658689711275</v>
      </c>
      <c r="AE16" s="55">
        <v>6.016977319209154</v>
      </c>
      <c r="AF16" s="55">
        <v>5.9556158193773356</v>
      </c>
      <c r="AG16" s="55">
        <v>5.8573030919769078</v>
      </c>
      <c r="AH16" s="55">
        <v>6.2948454168857575</v>
      </c>
      <c r="AI16" s="55">
        <v>5.8827024634538576</v>
      </c>
      <c r="AJ16" s="55">
        <f t="shared" ca="1" si="14"/>
        <v>5.9626041315218821</v>
      </c>
      <c r="AK16" s="55">
        <f t="shared" ca="1" si="15"/>
        <v>3.2847711964003696E-3</v>
      </c>
      <c r="AL16" s="55">
        <f t="shared" ca="1" si="15"/>
        <v>1.8783827047573965E-2</v>
      </c>
      <c r="AM16" s="55">
        <f t="shared" ca="1" si="15"/>
        <v>5.3707265659754908E-2</v>
      </c>
      <c r="AN16" s="55">
        <f t="shared" ca="1" si="15"/>
        <v>0.10237425267818487</v>
      </c>
      <c r="AO16" s="55">
        <f t="shared" ca="1" si="15"/>
        <v>0.14635572323416055</v>
      </c>
      <c r="AP16" s="55">
        <f t="shared" ca="1" si="15"/>
        <v>0.16738581948512637</v>
      </c>
      <c r="AQ16" s="55">
        <f t="shared" ca="1" si="16"/>
        <v>0.16161161314386147</v>
      </c>
      <c r="AR16" s="55">
        <f t="shared" ca="1" si="2"/>
        <v>0.13552099852603505</v>
      </c>
      <c r="AS16" s="55">
        <f t="shared" ca="1" si="2"/>
        <v>9.0913966808287838E-2</v>
      </c>
      <c r="AT16" s="55">
        <f t="shared" ca="1" si="2"/>
        <v>4.5742077523306814E-2</v>
      </c>
      <c r="AU16" s="55">
        <f t="shared" ca="1" si="2"/>
        <v>1.5342986559005957E-2</v>
      </c>
      <c r="AV16" s="55">
        <f t="shared" ca="1" si="2"/>
        <v>2.5732022821863651E-3</v>
      </c>
      <c r="AW16" s="55">
        <f t="shared" ca="1" si="17"/>
        <v>0.16738581948512637</v>
      </c>
      <c r="AX16" s="55">
        <f t="shared" ca="1" si="18"/>
        <v>0.16161161314386147</v>
      </c>
      <c r="AY16" s="54">
        <f t="shared" ca="1" si="3"/>
        <v>5</v>
      </c>
      <c r="AZ16" s="54">
        <f t="shared" ca="1" si="4"/>
        <v>5</v>
      </c>
      <c r="BA16" s="54" t="str">
        <f t="shared" si="5"/>
        <v>ATK-MBMumbai City</v>
      </c>
      <c r="BB16" s="54">
        <f t="shared" si="19"/>
        <v>0</v>
      </c>
      <c r="BC16" s="54">
        <f t="shared" si="20"/>
        <v>3</v>
      </c>
      <c r="BD16" s="54">
        <f t="shared" si="21"/>
        <v>4</v>
      </c>
      <c r="BE16" s="54" t="str">
        <f t="shared" si="6"/>
        <v>HL</v>
      </c>
      <c r="BF16" s="55" t="str">
        <f t="shared" si="7"/>
        <v>AW</v>
      </c>
      <c r="BG16" s="86">
        <f t="shared" ca="1" si="8"/>
        <v>7.8707555839104201E-2</v>
      </c>
      <c r="BH16" s="86">
        <f t="shared" ca="1" si="9"/>
        <v>5.8946349763129707E-2</v>
      </c>
      <c r="BI16" s="87">
        <f t="shared" ca="1" si="22"/>
        <v>0.86234609439776611</v>
      </c>
    </row>
    <row r="17" spans="1:61" x14ac:dyDescent="0.2">
      <c r="A17" s="52">
        <f>'ISL 8'!B18</f>
        <v>44532</v>
      </c>
      <c r="B17" s="54">
        <f>'ISL 8'!C18</f>
        <v>15</v>
      </c>
      <c r="C17" s="54" t="str">
        <f>'ISL 8'!D18</f>
        <v>Jamshedpur</v>
      </c>
      <c r="D17" s="54">
        <f>IF('ISL 8'!E18&lt;&gt;"",'ISL 8'!E18,INDEX($AK$2:$AP$2,,MATCH($AW17,AK17:AP17,0)))</f>
        <v>1</v>
      </c>
      <c r="E17" s="54" t="str">
        <f>'ISL 8'!G18</f>
        <v>Hyderabad</v>
      </c>
      <c r="F17" s="54">
        <f>IF('ISL 8'!F18&lt;&gt;"",'ISL 8'!F18,INDEX($AQ$2:$AV$2,,MATCH($AX17,AQ17:AV17,0)))</f>
        <v>1</v>
      </c>
      <c r="G17" s="55">
        <f>VLOOKUP($C17,'ISL Total'!$D$5:$AH$15,25,0)</f>
        <v>1.6665097487371039</v>
      </c>
      <c r="H17" s="55">
        <f>VLOOKUP($C17,'ISL Total'!$D$5:$AH$15,28,0)</f>
        <v>1.5979083171113402</v>
      </c>
      <c r="I17" s="55">
        <f>VLOOKUP($E17,'ISL Total'!$D$5:$AH$15,26,0)</f>
        <v>2.2018340394671556</v>
      </c>
      <c r="J17" s="55">
        <f>VLOOKUP(E17,'ISL Total'!$D$5:$AH$15,29,0)</f>
        <v>1.4450563501928062</v>
      </c>
      <c r="K17" s="55">
        <f t="shared" si="10"/>
        <v>3.4480833435528311</v>
      </c>
      <c r="L17" s="55">
        <f t="shared" si="0"/>
        <v>4.7130885496727855</v>
      </c>
      <c r="M17" s="55">
        <f t="shared" ca="1" si="11"/>
        <v>2.6400614888896854</v>
      </c>
      <c r="N17" s="55">
        <v>3.6088628807789283</v>
      </c>
      <c r="O17" s="55">
        <v>2.9634575939781431</v>
      </c>
      <c r="P17" s="55">
        <v>3.8872619524725187</v>
      </c>
      <c r="Q17" s="55">
        <v>3.1743548727292743</v>
      </c>
      <c r="R17" s="55">
        <v>2.8740494849330087</v>
      </c>
      <c r="S17" s="55">
        <v>3.4421678537052522</v>
      </c>
      <c r="T17" s="55">
        <v>3.5994405266190395</v>
      </c>
      <c r="U17" s="55">
        <v>3.1917704043117654</v>
      </c>
      <c r="V17" s="55">
        <v>3.525045305330647</v>
      </c>
      <c r="W17" s="55">
        <v>3.0294012953810179</v>
      </c>
      <c r="X17" s="55">
        <f t="shared" ca="1" si="12"/>
        <v>3.2668976053753891</v>
      </c>
      <c r="Y17" s="55">
        <f t="shared" ca="1" si="13"/>
        <v>4.8717974038193121</v>
      </c>
      <c r="Z17" s="55">
        <v>4.7185881038585462</v>
      </c>
      <c r="AA17" s="55">
        <v>4.6626172738137734</v>
      </c>
      <c r="AB17" s="55">
        <v>4.6220341157485088</v>
      </c>
      <c r="AC17" s="55">
        <v>4.7763629478519354</v>
      </c>
      <c r="AD17" s="55">
        <v>4.8125315361449816</v>
      </c>
      <c r="AE17" s="55">
        <v>4.86143094495214</v>
      </c>
      <c r="AF17" s="55">
        <v>4.8276907633134325</v>
      </c>
      <c r="AG17" s="55">
        <v>4.8396182067816929</v>
      </c>
      <c r="AH17" s="55">
        <v>4.5100856052221339</v>
      </c>
      <c r="AI17" s="55">
        <v>5.3714852749475925</v>
      </c>
      <c r="AJ17" s="55">
        <f t="shared" ca="1" si="14"/>
        <v>4.8067492887685503</v>
      </c>
      <c r="AK17" s="55">
        <f t="shared" ca="1" si="15"/>
        <v>3.8124521102651243E-2</v>
      </c>
      <c r="AL17" s="55">
        <f t="shared" ca="1" si="15"/>
        <v>0.12454890669633484</v>
      </c>
      <c r="AM17" s="55">
        <f t="shared" ca="1" si="15"/>
        <v>0.20344426251918951</v>
      </c>
      <c r="AN17" s="55">
        <f t="shared" ca="1" si="15"/>
        <v>0.22154385801710078</v>
      </c>
      <c r="AO17" s="55">
        <f t="shared" ca="1" si="15"/>
        <v>0.18094027481042296</v>
      </c>
      <c r="AP17" s="55">
        <f t="shared" ca="1" si="15"/>
        <v>0.11822267009882709</v>
      </c>
      <c r="AQ17" s="55">
        <f t="shared" ca="1" si="16"/>
        <v>0.17479596998628882</v>
      </c>
      <c r="AR17" s="55">
        <f t="shared" ca="1" si="2"/>
        <v>0.18182347308472804</v>
      </c>
      <c r="AS17" s="55">
        <f t="shared" ca="1" si="2"/>
        <v>0.15130680812463151</v>
      </c>
      <c r="AT17" s="55">
        <f t="shared" ca="1" si="2"/>
        <v>9.4433971298341884E-2</v>
      </c>
      <c r="AU17" s="55">
        <f t="shared" ca="1" si="2"/>
        <v>3.9292239151726222E-2</v>
      </c>
      <c r="AV17" s="55">
        <f t="shared" ca="1" si="2"/>
        <v>8.1743891331167318E-3</v>
      </c>
      <c r="AW17" s="55">
        <f t="shared" ca="1" si="17"/>
        <v>0.22154385801710078</v>
      </c>
      <c r="AX17" s="55">
        <f t="shared" ca="1" si="18"/>
        <v>0.18182347308472804</v>
      </c>
      <c r="AY17" s="54">
        <f t="shared" ca="1" si="3"/>
        <v>3</v>
      </c>
      <c r="AZ17" s="54">
        <f t="shared" ca="1" si="4"/>
        <v>4</v>
      </c>
      <c r="BA17" s="54" t="str">
        <f t="shared" si="5"/>
        <v>JamshedpurHyderabad</v>
      </c>
      <c r="BB17" s="54">
        <f t="shared" si="19"/>
        <v>1</v>
      </c>
      <c r="BC17" s="54">
        <f t="shared" si="20"/>
        <v>1</v>
      </c>
      <c r="BD17" s="54">
        <f t="shared" si="21"/>
        <v>0</v>
      </c>
      <c r="BE17" s="54" t="str">
        <f t="shared" si="6"/>
        <v>HD</v>
      </c>
      <c r="BF17" s="55" t="str">
        <f t="shared" si="7"/>
        <v>AD</v>
      </c>
      <c r="BG17" s="86">
        <f t="shared" ca="1" si="8"/>
        <v>0.1513245787355173</v>
      </c>
      <c r="BH17" s="86">
        <f t="shared" ca="1" si="9"/>
        <v>0.1115026292439685</v>
      </c>
      <c r="BI17" s="87">
        <f t="shared" ca="1" si="22"/>
        <v>0.73717279202051422</v>
      </c>
    </row>
    <row r="18" spans="1:61" x14ac:dyDescent="0.2">
      <c r="A18" s="52">
        <f>'ISL 8'!B19</f>
        <v>44533</v>
      </c>
      <c r="B18" s="54">
        <f>'ISL 8'!C19</f>
        <v>16</v>
      </c>
      <c r="C18" s="54" t="str">
        <f>'ISL 8'!D19</f>
        <v>Chennaiyin</v>
      </c>
      <c r="D18" s="54">
        <f>IF('ISL 8'!E19&lt;&gt;"",'ISL 8'!E19,INDEX($AK$2:$AP$2,,MATCH($AW18,AK18:AP18,0)))</f>
        <v>0</v>
      </c>
      <c r="E18" s="54" t="str">
        <f>'ISL 8'!G19</f>
        <v>East Bengal</v>
      </c>
      <c r="F18" s="54">
        <f>IF('ISL 8'!F19&lt;&gt;"",'ISL 8'!F19,INDEX($AQ$2:$AV$2,,MATCH($AX18,AQ18:AV18,0)))</f>
        <v>0</v>
      </c>
      <c r="G18" s="55">
        <f>VLOOKUP($C18,'ISL Total'!$D$5:$AH$15,25,0)</f>
        <v>1.6923160070404248</v>
      </c>
      <c r="H18" s="55">
        <f>VLOOKUP($C18,'ISL Total'!$D$5:$AH$15,28,0)</f>
        <v>2.1914366960571012</v>
      </c>
      <c r="I18" s="55">
        <f>VLOOKUP($E18,'ISL Total'!$D$5:$AH$15,26,0)</f>
        <v>2.2664839306843771</v>
      </c>
      <c r="J18" s="55">
        <f>VLOOKUP(E18,'ISL Total'!$D$5:$AH$15,29,0)</f>
        <v>2.3205343227457229</v>
      </c>
      <c r="K18" s="55">
        <f t="shared" si="10"/>
        <v>5.6228250629537566</v>
      </c>
      <c r="L18" s="55">
        <f t="shared" si="0"/>
        <v>6.6535087852056201</v>
      </c>
      <c r="M18" s="55">
        <f t="shared" ca="1" si="11"/>
        <v>6.0196126339465543</v>
      </c>
      <c r="N18" s="55">
        <v>5.7892781727932778</v>
      </c>
      <c r="O18" s="55">
        <v>5.7982502056759202</v>
      </c>
      <c r="P18" s="55">
        <v>5.5005206870451389</v>
      </c>
      <c r="Q18" s="55">
        <v>5.7263182242864401</v>
      </c>
      <c r="R18" s="55">
        <v>5.1243129668737009</v>
      </c>
      <c r="S18" s="55">
        <v>6.090645427423504</v>
      </c>
      <c r="T18" s="55">
        <v>5.9929094582345108</v>
      </c>
      <c r="U18" s="55">
        <v>5.7291592396169975</v>
      </c>
      <c r="V18" s="55">
        <v>5.5330713774796392</v>
      </c>
      <c r="W18" s="55">
        <v>5.9752332106774375</v>
      </c>
      <c r="X18" s="55">
        <f t="shared" ca="1" si="12"/>
        <v>5.7526646912775554</v>
      </c>
      <c r="Y18" s="55">
        <f t="shared" ca="1" si="13"/>
        <v>6.4156464106607451</v>
      </c>
      <c r="Z18" s="55">
        <v>6.8384388451949283</v>
      </c>
      <c r="AA18" s="55">
        <v>6.6248666243197025</v>
      </c>
      <c r="AB18" s="55">
        <v>6.4925019815288794</v>
      </c>
      <c r="AC18" s="55">
        <v>6.565167472026384</v>
      </c>
      <c r="AD18" s="55">
        <v>6.3557224737058675</v>
      </c>
      <c r="AE18" s="55">
        <v>6.6816471508000541</v>
      </c>
      <c r="AF18" s="55">
        <v>6.8918850746031737</v>
      </c>
      <c r="AG18" s="55">
        <v>6.8169687029900921</v>
      </c>
      <c r="AH18" s="55">
        <v>6.6269555487106695</v>
      </c>
      <c r="AI18" s="55">
        <v>6.6867362378750235</v>
      </c>
      <c r="AJ18" s="55">
        <f t="shared" ca="1" si="14"/>
        <v>6.6360487747650474</v>
      </c>
      <c r="AK18" s="55">
        <f t="shared" ca="1" si="15"/>
        <v>3.1743109580469036E-3</v>
      </c>
      <c r="AL18" s="55">
        <f t="shared" ca="1" si="15"/>
        <v>1.826074656749185E-2</v>
      </c>
      <c r="AM18" s="55">
        <f t="shared" ca="1" si="15"/>
        <v>5.2523976007589096E-2</v>
      </c>
      <c r="AN18" s="55">
        <f t="shared" ca="1" si="15"/>
        <v>0.1007176074081224</v>
      </c>
      <c r="AO18" s="55">
        <f t="shared" ca="1" si="15"/>
        <v>0.14484865598166519</v>
      </c>
      <c r="AP18" s="55">
        <f t="shared" ca="1" si="15"/>
        <v>0.16665314976894691</v>
      </c>
      <c r="AQ18" s="55">
        <f t="shared" ca="1" si="16"/>
        <v>0.14072369713390898</v>
      </c>
      <c r="AR18" s="55">
        <f t="shared" ca="1" si="2"/>
        <v>0.1060297338900221</v>
      </c>
      <c r="AS18" s="55">
        <f t="shared" ca="1" si="2"/>
        <v>6.3911365023851016E-2</v>
      </c>
      <c r="AT18" s="55">
        <f t="shared" ca="1" si="2"/>
        <v>2.8892809799810661E-2</v>
      </c>
      <c r="AU18" s="55">
        <f t="shared" ca="1" si="2"/>
        <v>8.7078352738097879E-3</v>
      </c>
      <c r="AV18" s="55">
        <f t="shared" ca="1" si="2"/>
        <v>1.3122018190889644E-3</v>
      </c>
      <c r="AW18" s="55">
        <f t="shared" ca="1" si="17"/>
        <v>0.16665314976894691</v>
      </c>
      <c r="AX18" s="55">
        <f t="shared" ca="1" si="18"/>
        <v>0.14072369713390898</v>
      </c>
      <c r="AY18" s="54">
        <f t="shared" ca="1" si="3"/>
        <v>5</v>
      </c>
      <c r="AZ18" s="54">
        <f t="shared" ca="1" si="4"/>
        <v>5</v>
      </c>
      <c r="BA18" s="54" t="str">
        <f t="shared" si="5"/>
        <v>ChennaiyinEast Bengal</v>
      </c>
      <c r="BB18" s="54">
        <f t="shared" si="19"/>
        <v>1</v>
      </c>
      <c r="BC18" s="54">
        <f t="shared" si="20"/>
        <v>1</v>
      </c>
      <c r="BD18" s="54">
        <f t="shared" si="21"/>
        <v>0</v>
      </c>
      <c r="BE18" s="54" t="str">
        <f t="shared" si="6"/>
        <v>HD</v>
      </c>
      <c r="BF18" s="55" t="str">
        <f t="shared" si="7"/>
        <v>AD</v>
      </c>
      <c r="BG18" s="86">
        <f t="shared" ca="1" si="8"/>
        <v>5.4169579618026251E-2</v>
      </c>
      <c r="BH18" s="86">
        <f t="shared" ca="1" si="9"/>
        <v>4.6928053752367103E-2</v>
      </c>
      <c r="BI18" s="87">
        <f t="shared" ca="1" si="22"/>
        <v>0.89890236662960665</v>
      </c>
    </row>
    <row r="19" spans="1:61" x14ac:dyDescent="0.2">
      <c r="A19" s="52">
        <f>'ISL 8'!B20</f>
        <v>44534</v>
      </c>
      <c r="B19" s="54">
        <f>'ISL 8'!C20</f>
        <v>17</v>
      </c>
      <c r="C19" s="54" t="str">
        <f>'ISL 8'!D20</f>
        <v>NorthEast United</v>
      </c>
      <c r="D19" s="54">
        <f>IF('ISL 8'!E20&lt;&gt;"",'ISL 8'!E20,INDEX($AK$2:$AP$2,,MATCH($AW19,AK19:AP19,0)))</f>
        <v>2</v>
      </c>
      <c r="E19" s="54" t="str">
        <f>'ISL 8'!G20</f>
        <v>Goa</v>
      </c>
      <c r="F19" s="54">
        <f>IF('ISL 8'!F20&lt;&gt;"",'ISL 8'!F20,INDEX($AQ$2:$AV$2,,MATCH($AX19,AQ19:AV19,0)))</f>
        <v>1</v>
      </c>
      <c r="G19" s="55">
        <f>VLOOKUP($C19,'ISL Total'!$D$5:$AH$15,25,0)</f>
        <v>1.9869978963421873</v>
      </c>
      <c r="H19" s="55">
        <f>VLOOKUP($C19,'ISL Total'!$D$5:$AH$15,28,0)</f>
        <v>2.4341100805374252</v>
      </c>
      <c r="I19" s="55">
        <f>VLOOKUP($E19,'ISL Total'!$D$5:$AH$15,26,0)</f>
        <v>2.0171275621206917</v>
      </c>
      <c r="J19" s="55">
        <f>VLOOKUP(E19,'ISL Total'!$D$5:$AH$15,29,0)</f>
        <v>2.2576929605011884</v>
      </c>
      <c r="K19" s="55">
        <f t="shared" si="10"/>
        <v>6.4231401678612485</v>
      </c>
      <c r="L19" s="55">
        <f t="shared" si="0"/>
        <v>6.5772256112752121</v>
      </c>
      <c r="M19" s="55">
        <f t="shared" ca="1" si="11"/>
        <v>6.1855899679471138</v>
      </c>
      <c r="N19" s="55">
        <v>6.4323638948609476</v>
      </c>
      <c r="O19" s="55">
        <v>6.4511211694330433</v>
      </c>
      <c r="P19" s="55">
        <v>6.4832050241365637</v>
      </c>
      <c r="Q19" s="55">
        <v>6.2600447505383503</v>
      </c>
      <c r="R19" s="55">
        <v>6.5340703655942054</v>
      </c>
      <c r="S19" s="55">
        <v>6.2306274591022968</v>
      </c>
      <c r="T19" s="55">
        <v>6.8321583545964195</v>
      </c>
      <c r="U19" s="55">
        <v>6.3512114230092358</v>
      </c>
      <c r="V19" s="55">
        <v>6.9549452981644437</v>
      </c>
      <c r="W19" s="55">
        <v>6.3568427643892287</v>
      </c>
      <c r="X19" s="55">
        <f t="shared" ca="1" si="12"/>
        <v>6.4611073156156218</v>
      </c>
      <c r="Y19" s="55">
        <f t="shared" ca="1" si="13"/>
        <v>6.5275134978562166</v>
      </c>
      <c r="Z19" s="55">
        <v>6.4819077672957279</v>
      </c>
      <c r="AA19" s="55">
        <v>6.396013051104843</v>
      </c>
      <c r="AB19" s="55">
        <v>6.7415810175788975</v>
      </c>
      <c r="AC19" s="55">
        <v>6.8297422290370413</v>
      </c>
      <c r="AD19" s="55">
        <v>6.7608938572778534</v>
      </c>
      <c r="AE19" s="55">
        <v>6.7388598165958014</v>
      </c>
      <c r="AF19" s="55">
        <v>6.2805791057413565</v>
      </c>
      <c r="AG19" s="55">
        <v>6.2558020412509023</v>
      </c>
      <c r="AH19" s="55">
        <v>6.6193161626407564</v>
      </c>
      <c r="AI19" s="55">
        <v>7.0238541022750605</v>
      </c>
      <c r="AJ19" s="55">
        <f t="shared" ca="1" si="14"/>
        <v>6.6050966044231334</v>
      </c>
      <c r="AK19" s="55">
        <f t="shared" ca="1" si="15"/>
        <v>1.5630639466502571E-3</v>
      </c>
      <c r="AL19" s="55">
        <f t="shared" ca="1" si="15"/>
        <v>1.0099123900477002E-2</v>
      </c>
      <c r="AM19" s="55">
        <f t="shared" ca="1" si="15"/>
        <v>3.2625761657340262E-2</v>
      </c>
      <c r="AN19" s="55">
        <f t="shared" ca="1" si="15"/>
        <v>7.0266182440590963E-2</v>
      </c>
      <c r="AO19" s="55">
        <f t="shared" ca="1" si="15"/>
        <v>0.11349933635182102</v>
      </c>
      <c r="AP19" s="55">
        <f t="shared" ca="1" si="15"/>
        <v>0.14666627848405381</v>
      </c>
      <c r="AQ19" s="55">
        <f t="shared" ca="1" si="16"/>
        <v>0.14179392212612921</v>
      </c>
      <c r="AR19" s="55">
        <f t="shared" ca="1" si="16"/>
        <v>0.10733675116210738</v>
      </c>
      <c r="AS19" s="55">
        <f t="shared" ca="1" si="16"/>
        <v>6.5002380791965297E-2</v>
      </c>
      <c r="AT19" s="55">
        <f t="shared" ca="1" si="16"/>
        <v>2.9523738115398407E-2</v>
      </c>
      <c r="AU19" s="55">
        <f t="shared" ca="1" si="16"/>
        <v>8.9396839693843995E-3</v>
      </c>
      <c r="AV19" s="55">
        <f t="shared" ca="1" si="16"/>
        <v>1.3534524178492556E-3</v>
      </c>
      <c r="AW19" s="55">
        <f t="shared" ca="1" si="17"/>
        <v>0.14666627848405381</v>
      </c>
      <c r="AX19" s="55">
        <f t="shared" ca="1" si="18"/>
        <v>0.14179392212612921</v>
      </c>
      <c r="AY19" s="54">
        <f t="shared" ca="1" si="3"/>
        <v>5</v>
      </c>
      <c r="AZ19" s="54">
        <f t="shared" ca="1" si="4"/>
        <v>5</v>
      </c>
      <c r="BA19" s="54" t="str">
        <f t="shared" si="5"/>
        <v>NorthEast UnitedGoa</v>
      </c>
      <c r="BB19" s="54">
        <f t="shared" si="19"/>
        <v>3</v>
      </c>
      <c r="BC19" s="54">
        <f t="shared" si="20"/>
        <v>0</v>
      </c>
      <c r="BD19" s="54">
        <f t="shared" si="21"/>
        <v>1</v>
      </c>
      <c r="BE19" s="54" t="str">
        <f t="shared" si="6"/>
        <v>HW</v>
      </c>
      <c r="BF19" s="55" t="str">
        <f t="shared" si="7"/>
        <v>AL</v>
      </c>
      <c r="BG19" s="86">
        <f t="shared" ca="1" si="8"/>
        <v>4.6160317704026378E-2</v>
      </c>
      <c r="BH19" s="86">
        <f t="shared" ca="1" si="9"/>
        <v>3.860213899246033E-2</v>
      </c>
      <c r="BI19" s="87">
        <f t="shared" ca="1" si="22"/>
        <v>0.91523754330351326</v>
      </c>
    </row>
    <row r="20" spans="1:61" x14ac:dyDescent="0.2">
      <c r="A20" s="52">
        <f>'ISL 8'!B21</f>
        <v>44534</v>
      </c>
      <c r="B20" s="54">
        <f>'ISL 8'!C21</f>
        <v>18</v>
      </c>
      <c r="C20" s="54" t="str">
        <f>'ISL 8'!D21</f>
        <v>Bengaluru</v>
      </c>
      <c r="D20" s="54">
        <f>IF('ISL 8'!E21&lt;&gt;"",'ISL 8'!E21,INDEX($AK$2:$AP$2,,MATCH($AW20,AK20:AP20,0)))</f>
        <v>1</v>
      </c>
      <c r="E20" s="54" t="str">
        <f>'ISL 8'!G21</f>
        <v>Mumbai City</v>
      </c>
      <c r="F20" s="54">
        <f>IF('ISL 8'!F21&lt;&gt;"",'ISL 8'!F21,INDEX($AQ$2:$AV$2,,MATCH($AX20,AQ20:AV20,0)))</f>
        <v>3</v>
      </c>
      <c r="G20" s="55">
        <f>VLOOKUP($C20,'ISL Total'!$D$5:$AH$15,25,0)</f>
        <v>2.2973875558619734</v>
      </c>
      <c r="H20" s="55">
        <f>VLOOKUP($C20,'ISL Total'!$D$5:$AH$15,28,0)</f>
        <v>1.7201477155616627</v>
      </c>
      <c r="I20" s="55">
        <f>VLOOKUP($E20,'ISL Total'!$D$5:$AH$15,26,0)</f>
        <v>2.4343333715027291</v>
      </c>
      <c r="J20" s="55">
        <f>VLOOKUP(E20,'ISL Total'!$D$5:$AH$15,29,0)</f>
        <v>1.9843487615958779</v>
      </c>
      <c r="K20" s="55">
        <f t="shared" si="10"/>
        <v>6.5273572388329848</v>
      </c>
      <c r="L20" s="55">
        <f t="shared" si="0"/>
        <v>5.6093812230758093</v>
      </c>
      <c r="M20" s="55">
        <f t="shared" ca="1" si="11"/>
        <v>6.4174491112785503</v>
      </c>
      <c r="N20" s="55">
        <v>6.4143728283175943</v>
      </c>
      <c r="O20" s="55">
        <v>6.4904716388273469</v>
      </c>
      <c r="P20" s="55">
        <v>7.0032805355952412</v>
      </c>
      <c r="Q20" s="55">
        <v>6.7481066457196404</v>
      </c>
      <c r="R20" s="55">
        <v>6.7407867587492598</v>
      </c>
      <c r="S20" s="55">
        <v>5.9900586143845898</v>
      </c>
      <c r="T20" s="55">
        <v>5.7426687716682956</v>
      </c>
      <c r="U20" s="55">
        <v>6.2525987387150632</v>
      </c>
      <c r="V20" s="55">
        <v>6.8842824861996714</v>
      </c>
      <c r="W20" s="55">
        <v>6.8353558218810555</v>
      </c>
      <c r="X20" s="55">
        <f t="shared" ca="1" si="12"/>
        <v>6.5017665410305732</v>
      </c>
      <c r="Y20" s="55">
        <f t="shared" ca="1" si="13"/>
        <v>5.6613239986935158</v>
      </c>
      <c r="Z20" s="55">
        <v>5.6178279578250967</v>
      </c>
      <c r="AA20" s="55">
        <v>6.0634001677620173</v>
      </c>
      <c r="AB20" s="55">
        <v>5.1935733495013769</v>
      </c>
      <c r="AC20" s="55">
        <v>5.7247003675877712</v>
      </c>
      <c r="AD20" s="55">
        <v>5.9711654615543637</v>
      </c>
      <c r="AE20" s="55">
        <v>5.7346616830387109</v>
      </c>
      <c r="AF20" s="55">
        <v>5.8080711816596446</v>
      </c>
      <c r="AG20" s="55">
        <v>5.354828036576972</v>
      </c>
      <c r="AH20" s="55">
        <v>5.798082409588158</v>
      </c>
      <c r="AI20" s="55">
        <v>5.6234676610494452</v>
      </c>
      <c r="AJ20" s="55">
        <f t="shared" ca="1" si="14"/>
        <v>5.6864638431670071</v>
      </c>
      <c r="AK20" s="55">
        <f t="shared" ca="1" si="15"/>
        <v>1.5007856504421569E-3</v>
      </c>
      <c r="AL20" s="55">
        <f t="shared" ca="1" si="15"/>
        <v>9.7577579273036216E-3</v>
      </c>
      <c r="AM20" s="55">
        <f t="shared" ca="1" si="15"/>
        <v>3.1721332003609264E-2</v>
      </c>
      <c r="AN20" s="55">
        <f t="shared" ca="1" si="15"/>
        <v>6.8748231685996336E-2</v>
      </c>
      <c r="AO20" s="55">
        <f t="shared" ca="1" si="15"/>
        <v>0.11174623813275719</v>
      </c>
      <c r="AP20" s="55">
        <f t="shared" ca="1" si="15"/>
        <v>0.14530959043551914</v>
      </c>
      <c r="AQ20" s="55">
        <f t="shared" ca="1" si="16"/>
        <v>0.16804681886984704</v>
      </c>
      <c r="AR20" s="55">
        <f t="shared" ca="1" si="16"/>
        <v>0.14776038633550465</v>
      </c>
      <c r="AS20" s="55">
        <f t="shared" ca="1" si="16"/>
        <v>0.10393832821995842</v>
      </c>
      <c r="AT20" s="55">
        <f t="shared" ca="1" si="16"/>
        <v>5.4834602533270251E-2</v>
      </c>
      <c r="AU20" s="55">
        <f t="shared" ca="1" si="16"/>
        <v>1.928601114703677E-2</v>
      </c>
      <c r="AV20" s="55">
        <f t="shared" ca="1" si="16"/>
        <v>3.3915648949762183E-3</v>
      </c>
      <c r="AW20" s="55">
        <f t="shared" ca="1" si="17"/>
        <v>0.14530959043551914</v>
      </c>
      <c r="AX20" s="55">
        <f t="shared" ca="1" si="18"/>
        <v>0.16804681886984704</v>
      </c>
      <c r="AY20" s="54">
        <f t="shared" ca="1" si="3"/>
        <v>5</v>
      </c>
      <c r="AZ20" s="54">
        <f t="shared" ca="1" si="4"/>
        <v>5</v>
      </c>
      <c r="BA20" s="54" t="str">
        <f t="shared" si="5"/>
        <v>BengaluruMumbai City</v>
      </c>
      <c r="BB20" s="54">
        <f t="shared" si="19"/>
        <v>0</v>
      </c>
      <c r="BC20" s="54">
        <f t="shared" si="20"/>
        <v>3</v>
      </c>
      <c r="BD20" s="54">
        <f t="shared" si="21"/>
        <v>2</v>
      </c>
      <c r="BE20" s="54" t="str">
        <f t="shared" si="6"/>
        <v>HL</v>
      </c>
      <c r="BF20" s="55" t="str">
        <f t="shared" si="7"/>
        <v>AW</v>
      </c>
      <c r="BG20" s="86">
        <f t="shared" ca="1" si="8"/>
        <v>7.419519378847636E-2</v>
      </c>
      <c r="BH20" s="86">
        <f t="shared" ca="1" si="9"/>
        <v>5.0008762883852489E-2</v>
      </c>
      <c r="BI20" s="87">
        <f t="shared" ca="1" si="22"/>
        <v>0.87579604332767114</v>
      </c>
    </row>
    <row r="21" spans="1:61" x14ac:dyDescent="0.2">
      <c r="A21" s="52">
        <f>'ISL 8'!B22</f>
        <v>44535</v>
      </c>
      <c r="B21" s="54">
        <f>'ISL 8'!C22</f>
        <v>19</v>
      </c>
      <c r="C21" s="54" t="str">
        <f>'ISL 8'!D22</f>
        <v>Kerala Blasters</v>
      </c>
      <c r="D21" s="54">
        <f>IF('ISL 8'!E22&lt;&gt;"",'ISL 8'!E22,INDEX($AK$2:$AP$2,,MATCH($AW21,AK21:AP21,0)))</f>
        <v>2</v>
      </c>
      <c r="E21" s="54" t="str">
        <f>'ISL 8'!G22</f>
        <v>Odisha</v>
      </c>
      <c r="F21" s="54">
        <f>IF('ISL 8'!F22&lt;&gt;"",'ISL 8'!F22,INDEX($AQ$2:$AV$2,,MATCH($AX21,AQ21:AV21,0)))</f>
        <v>1</v>
      </c>
      <c r="G21" s="55">
        <f>VLOOKUP($C21,'ISL Total'!$D$5:$AH$15,25,0)</f>
        <v>1.7408543887928634</v>
      </c>
      <c r="H21" s="55">
        <f>VLOOKUP($C21,'ISL Total'!$D$5:$AH$15,28,0)</f>
        <v>1.6729569830909576</v>
      </c>
      <c r="I21" s="55">
        <f>VLOOKUP($E21,'ISL Total'!$D$5:$AH$15,26,0)</f>
        <v>0.79788732394366213</v>
      </c>
      <c r="J21" s="55">
        <f>VLOOKUP(E21,'ISL Total'!$D$5:$AH$15,29,0)</f>
        <v>1.3928240740740743</v>
      </c>
      <c r="K21" s="55">
        <f t="shared" si="10"/>
        <v>3.4717130717424172</v>
      </c>
      <c r="L21" s="55">
        <f t="shared" si="0"/>
        <v>1.7881152215809912</v>
      </c>
      <c r="M21" s="55">
        <f t="shared" ca="1" si="11"/>
        <v>3.7982418426963043</v>
      </c>
      <c r="N21" s="55">
        <v>3.0990474515638895</v>
      </c>
      <c r="O21" s="55">
        <v>3.4177019776682096</v>
      </c>
      <c r="P21" s="55">
        <v>3.2740557531968584</v>
      </c>
      <c r="Q21" s="55">
        <v>3.5578178862036052</v>
      </c>
      <c r="R21" s="55">
        <v>3.3510879172043695</v>
      </c>
      <c r="S21" s="55">
        <v>3.7796255458837207</v>
      </c>
      <c r="T21" s="55">
        <v>3.2343886077012884</v>
      </c>
      <c r="U21" s="55">
        <v>2.7952089014465673</v>
      </c>
      <c r="V21" s="55">
        <v>3.0558680364689579</v>
      </c>
      <c r="W21" s="55">
        <v>3.702070506004687</v>
      </c>
      <c r="X21" s="55">
        <f t="shared" ca="1" si="12"/>
        <v>3.3695558569125876</v>
      </c>
      <c r="Y21" s="55">
        <f t="shared" ca="1" si="13"/>
        <v>1.9403912996535388</v>
      </c>
      <c r="Z21" s="55">
        <v>2.3542319563911303</v>
      </c>
      <c r="AA21" s="55">
        <v>1.7385805538054435</v>
      </c>
      <c r="AB21" s="55">
        <v>1.8535783046687075</v>
      </c>
      <c r="AC21" s="55">
        <v>1.578132518151109</v>
      </c>
      <c r="AD21" s="55">
        <v>1.6479977181180618</v>
      </c>
      <c r="AE21" s="55">
        <v>1.6853348826126455</v>
      </c>
      <c r="AF21" s="55">
        <v>2.1490881436068974</v>
      </c>
      <c r="AG21" s="55">
        <v>1.7237323239767368</v>
      </c>
      <c r="AH21" s="55">
        <v>1.6110582000774241</v>
      </c>
      <c r="AI21" s="55">
        <v>1.7842844246984126</v>
      </c>
      <c r="AJ21" s="55">
        <f t="shared" ca="1" si="14"/>
        <v>1.824219120523646</v>
      </c>
      <c r="AK21" s="55">
        <f t="shared" ca="1" si="15"/>
        <v>3.4404914655582583E-2</v>
      </c>
      <c r="AL21" s="55">
        <f t="shared" ca="1" si="15"/>
        <v>0.115929281684296</v>
      </c>
      <c r="AM21" s="55">
        <f t="shared" ca="1" si="15"/>
        <v>0.19531509504349442</v>
      </c>
      <c r="AN21" s="55">
        <f t="shared" ca="1" si="15"/>
        <v>0.21937504081574846</v>
      </c>
      <c r="AO21" s="55">
        <f t="shared" ca="1" si="15"/>
        <v>0.18479911341028579</v>
      </c>
      <c r="AP21" s="55">
        <f t="shared" ca="1" si="15"/>
        <v>0.12453818698877639</v>
      </c>
      <c r="AQ21" s="55">
        <f t="shared" ca="1" si="16"/>
        <v>2.7161607770219903E-2</v>
      </c>
      <c r="AR21" s="55">
        <f t="shared" ca="1" si="16"/>
        <v>7.4447218167582555E-2</v>
      </c>
      <c r="AS21" s="55">
        <f t="shared" ca="1" si="16"/>
        <v>0.16324183280397217</v>
      </c>
      <c r="AT21" s="55">
        <f t="shared" ca="1" si="16"/>
        <v>0.26845760627228804</v>
      </c>
      <c r="AU21" s="55">
        <f t="shared" ca="1" si="16"/>
        <v>0.29432605244837762</v>
      </c>
      <c r="AV21" s="55">
        <f t="shared" ca="1" si="16"/>
        <v>0.1613435848451642</v>
      </c>
      <c r="AW21" s="55">
        <f t="shared" ca="1" si="17"/>
        <v>0.21937504081574846</v>
      </c>
      <c r="AX21" s="55">
        <f t="shared" ca="1" si="18"/>
        <v>0.29432605244837762</v>
      </c>
      <c r="AY21" s="54">
        <f t="shared" ca="1" si="3"/>
        <v>3</v>
      </c>
      <c r="AZ21" s="54">
        <f t="shared" ca="1" si="4"/>
        <v>1</v>
      </c>
      <c r="BA21" s="54" t="str">
        <f t="shared" si="5"/>
        <v>Kerala BlastersOdisha</v>
      </c>
      <c r="BB21" s="54">
        <f t="shared" si="19"/>
        <v>3</v>
      </c>
      <c r="BC21" s="54">
        <f t="shared" si="20"/>
        <v>0</v>
      </c>
      <c r="BD21" s="54">
        <f t="shared" si="21"/>
        <v>1</v>
      </c>
      <c r="BE21" s="54" t="str">
        <f t="shared" si="6"/>
        <v>HW</v>
      </c>
      <c r="BF21" s="55" t="str">
        <f t="shared" si="7"/>
        <v>AL</v>
      </c>
      <c r="BG21" s="86">
        <f t="shared" ca="1" si="8"/>
        <v>0.55032692414373374</v>
      </c>
      <c r="BH21" s="86">
        <f t="shared" ca="1" si="9"/>
        <v>0.14505746402720324</v>
      </c>
      <c r="BI21" s="87">
        <f t="shared" ca="1" si="22"/>
        <v>0.30461561182906305</v>
      </c>
    </row>
    <row r="22" spans="1:61" x14ac:dyDescent="0.2">
      <c r="A22" s="52">
        <f>'ISL 8'!B23</f>
        <v>44536</v>
      </c>
      <c r="B22" s="54">
        <f>'ISL 8'!C23</f>
        <v>20</v>
      </c>
      <c r="C22" s="54" t="str">
        <f>'ISL 8'!D23</f>
        <v>Jamshedpur</v>
      </c>
      <c r="D22" s="54">
        <f>IF('ISL 8'!E23&lt;&gt;"",'ISL 8'!E23,INDEX($AK$2:$AP$2,,MATCH($AW22,AK22:AP22,0)))</f>
        <v>2</v>
      </c>
      <c r="E22" s="54" t="str">
        <f>'ISL 8'!G23</f>
        <v>ATK-MB</v>
      </c>
      <c r="F22" s="54">
        <f>IF('ISL 8'!F23&lt;&gt;"",'ISL 8'!F23,INDEX($AQ$2:$AV$2,,MATCH($AX22,AQ22:AV22,0)))</f>
        <v>1</v>
      </c>
      <c r="G22" s="55">
        <f>VLOOKUP($C22,'ISL Total'!$D$5:$AH$15,25,0)</f>
        <v>1.6665097487371039</v>
      </c>
      <c r="H22" s="55">
        <f>VLOOKUP($C22,'ISL Total'!$D$5:$AH$15,28,0)</f>
        <v>1.5979083171113402</v>
      </c>
      <c r="I22" s="55">
        <f>VLOOKUP($E22,'ISL Total'!$D$5:$AH$15,26,0)</f>
        <v>2.3848410244665827</v>
      </c>
      <c r="J22" s="55">
        <f>VLOOKUP(E22,'ISL Total'!$D$5:$AH$15,29,0)</f>
        <v>1.8807593937667644</v>
      </c>
      <c r="K22" s="55">
        <f t="shared" si="10"/>
        <v>4.4877247437530308</v>
      </c>
      <c r="L22" s="55">
        <f t="shared" si="0"/>
        <v>5.1048202197489152</v>
      </c>
      <c r="M22" s="55">
        <f t="shared" ca="1" si="11"/>
        <v>3.8338777399147763</v>
      </c>
      <c r="N22" s="55">
        <v>4.4709490774773801</v>
      </c>
      <c r="O22" s="55">
        <v>4.1364404302168243</v>
      </c>
      <c r="P22" s="55">
        <v>4.8180944947440016</v>
      </c>
      <c r="Q22" s="55">
        <v>4.1788707674093564</v>
      </c>
      <c r="R22" s="55">
        <v>4.8174252106332069</v>
      </c>
      <c r="S22" s="55">
        <v>4.2451655302499374</v>
      </c>
      <c r="T22" s="55">
        <v>4.5881664401614</v>
      </c>
      <c r="U22" s="55">
        <v>4.0965157970775801</v>
      </c>
      <c r="V22" s="55">
        <v>4.5280345952367069</v>
      </c>
      <c r="W22" s="55">
        <v>4.6659858638707687</v>
      </c>
      <c r="X22" s="55">
        <f t="shared" ca="1" si="12"/>
        <v>4.3981387224538118</v>
      </c>
      <c r="Y22" s="55">
        <f t="shared" ca="1" si="13"/>
        <v>5.3779537749473603</v>
      </c>
      <c r="Z22" s="55">
        <v>5.4983056356556137</v>
      </c>
      <c r="AA22" s="55">
        <v>4.9341998520872794</v>
      </c>
      <c r="AB22" s="55">
        <v>5.1132523666050389</v>
      </c>
      <c r="AC22" s="55">
        <v>5.2299184736202369</v>
      </c>
      <c r="AD22" s="55">
        <v>5.2061706957029159</v>
      </c>
      <c r="AE22" s="55">
        <v>5.2565542860534915</v>
      </c>
      <c r="AF22" s="55">
        <v>5.449463371953561</v>
      </c>
      <c r="AG22" s="55">
        <v>5.4585872228944954</v>
      </c>
      <c r="AH22" s="55">
        <v>4.7286946000337986</v>
      </c>
      <c r="AI22" s="55">
        <v>5.1435550826358005</v>
      </c>
      <c r="AJ22" s="55">
        <f t="shared" ca="1" si="14"/>
        <v>5.2178777601990536</v>
      </c>
      <c r="AK22" s="55">
        <f t="shared" ca="1" si="15"/>
        <v>1.2300212719883828E-2</v>
      </c>
      <c r="AL22" s="55">
        <f t="shared" ca="1" si="15"/>
        <v>5.409804185773999E-2</v>
      </c>
      <c r="AM22" s="55">
        <f t="shared" ca="1" si="15"/>
        <v>0.1189653463517267</v>
      </c>
      <c r="AN22" s="55">
        <f t="shared" ca="1" si="15"/>
        <v>0.17440869880655283</v>
      </c>
      <c r="AO22" s="55">
        <f t="shared" ca="1" si="15"/>
        <v>0.19176841293847097</v>
      </c>
      <c r="AP22" s="55">
        <f t="shared" ca="1" si="15"/>
        <v>0.16868481653764034</v>
      </c>
      <c r="AQ22" s="55">
        <f t="shared" ca="1" si="16"/>
        <v>0.17465971153277615</v>
      </c>
      <c r="AR22" s="55">
        <f t="shared" ca="1" si="16"/>
        <v>0.16736661872863917</v>
      </c>
      <c r="AS22" s="55">
        <f t="shared" ca="1" si="16"/>
        <v>0.12830244510921959</v>
      </c>
      <c r="AT22" s="55">
        <f t="shared" ca="1" si="16"/>
        <v>7.3767028093999529E-2</v>
      </c>
      <c r="AU22" s="55">
        <f t="shared" ca="1" si="16"/>
        <v>2.8274724508373844E-2</v>
      </c>
      <c r="AV22" s="55">
        <f t="shared" ca="1" si="16"/>
        <v>5.418816961188299E-3</v>
      </c>
      <c r="AW22" s="55">
        <f t="shared" ca="1" si="17"/>
        <v>0.19176841293847097</v>
      </c>
      <c r="AX22" s="55">
        <f t="shared" ca="1" si="18"/>
        <v>0.17465971153277615</v>
      </c>
      <c r="AY22" s="54">
        <f t="shared" ca="1" si="3"/>
        <v>4</v>
      </c>
      <c r="AZ22" s="54">
        <f t="shared" ca="1" si="4"/>
        <v>5</v>
      </c>
      <c r="BA22" s="54" t="str">
        <f t="shared" si="5"/>
        <v>JamshedpurATK-MB</v>
      </c>
      <c r="BB22" s="54">
        <f t="shared" si="19"/>
        <v>3</v>
      </c>
      <c r="BC22" s="54">
        <f t="shared" si="20"/>
        <v>0</v>
      </c>
      <c r="BD22" s="54">
        <f t="shared" si="21"/>
        <v>1</v>
      </c>
      <c r="BE22" s="54" t="str">
        <f t="shared" si="6"/>
        <v>HW</v>
      </c>
      <c r="BF22" s="55" t="str">
        <f t="shared" si="7"/>
        <v>AL</v>
      </c>
      <c r="BG22" s="86">
        <f t="shared" ca="1" si="8"/>
        <v>0.13625731673271388</v>
      </c>
      <c r="BH22" s="86">
        <f t="shared" ca="1" si="9"/>
        <v>9.4307114631914005E-2</v>
      </c>
      <c r="BI22" s="87">
        <f t="shared" ca="1" si="22"/>
        <v>0.7694355686353721</v>
      </c>
    </row>
    <row r="23" spans="1:61" x14ac:dyDescent="0.2">
      <c r="A23" s="52">
        <f>'ISL 8'!B24</f>
        <v>44537</v>
      </c>
      <c r="B23" s="54">
        <f>'ISL 8'!C24</f>
        <v>21</v>
      </c>
      <c r="C23" s="54" t="str">
        <f>'ISL 8'!D24</f>
        <v>East Bengal</v>
      </c>
      <c r="D23" s="54">
        <f>IF('ISL 8'!E24&lt;&gt;"",'ISL 8'!E24,INDEX($AK$2:$AP$2,,MATCH($AW23,AK23:AP23,0)))</f>
        <v>3</v>
      </c>
      <c r="E23" s="54" t="str">
        <f>'ISL 8'!G24</f>
        <v>Goa</v>
      </c>
      <c r="F23" s="54">
        <f>IF('ISL 8'!F24&lt;&gt;"",'ISL 8'!F24,INDEX($AQ$2:$AV$2,,MATCH($AX23,AQ23:AV23,0)))</f>
        <v>4</v>
      </c>
      <c r="G23" s="55">
        <f>VLOOKUP($C23,'ISL Total'!$D$5:$AH$15,25,0)</f>
        <v>2.2983657473042753</v>
      </c>
      <c r="H23" s="55">
        <f>VLOOKUP($C23,'ISL Total'!$D$5:$AH$15,28,0)</f>
        <v>2.2682850490476736</v>
      </c>
      <c r="I23" s="55">
        <f>VLOOKUP($E23,'ISL Total'!$D$5:$AH$15,26,0)</f>
        <v>2.0171275621206917</v>
      </c>
      <c r="J23" s="55">
        <f>VLOOKUP(E23,'ISL Total'!$D$5:$AH$15,29,0)</f>
        <v>2.2576929605011884</v>
      </c>
      <c r="K23" s="55">
        <f t="shared" si="10"/>
        <v>7.429663302172008</v>
      </c>
      <c r="L23" s="55">
        <f t="shared" si="0"/>
        <v>6.1291486517220504</v>
      </c>
      <c r="M23" s="55">
        <f t="shared" ca="1" si="11"/>
        <v>7.3056819901832828</v>
      </c>
      <c r="N23" s="55">
        <v>7.1096732050864615</v>
      </c>
      <c r="O23" s="55">
        <v>7.4241667694156614</v>
      </c>
      <c r="P23" s="55">
        <v>7.2311550986709747</v>
      </c>
      <c r="Q23" s="55">
        <v>7.6001647732851865</v>
      </c>
      <c r="R23" s="55">
        <v>7.0759338384680994</v>
      </c>
      <c r="S23" s="55">
        <v>7.0964873657840375</v>
      </c>
      <c r="T23" s="55">
        <v>7.5144272429451551</v>
      </c>
      <c r="U23" s="55">
        <v>7.0836072005760373</v>
      </c>
      <c r="V23" s="55">
        <v>7.5737028736979015</v>
      </c>
      <c r="W23" s="55">
        <v>7.0721376528854929</v>
      </c>
      <c r="X23" s="55">
        <f t="shared" ca="1" si="12"/>
        <v>7.2806489100907523</v>
      </c>
      <c r="Y23" s="55">
        <f t="shared" ca="1" si="13"/>
        <v>6.5143511467941364</v>
      </c>
      <c r="Z23" s="55">
        <v>6.3150682032541896</v>
      </c>
      <c r="AA23" s="55">
        <v>5.9022328822966958</v>
      </c>
      <c r="AB23" s="55">
        <v>6.112419146553254</v>
      </c>
      <c r="AC23" s="55">
        <v>5.8182637943365245</v>
      </c>
      <c r="AD23" s="55">
        <v>5.7787462044793649</v>
      </c>
      <c r="AE23" s="55">
        <v>5.9077684481298558</v>
      </c>
      <c r="AF23" s="55">
        <v>5.9852689107581751</v>
      </c>
      <c r="AG23" s="55">
        <v>6.3717711267862747</v>
      </c>
      <c r="AH23" s="55">
        <v>6.4673216948077155</v>
      </c>
      <c r="AI23" s="55">
        <v>6.5719148445626692</v>
      </c>
      <c r="AJ23" s="55">
        <f t="shared" ca="1" si="14"/>
        <v>6.158647854796258</v>
      </c>
      <c r="AK23" s="55">
        <f t="shared" ca="1" si="15"/>
        <v>6.8873848929734346E-4</v>
      </c>
      <c r="AL23" s="55">
        <f t="shared" ca="1" si="15"/>
        <v>5.0144631314402548E-3</v>
      </c>
      <c r="AM23" s="55">
        <f t="shared" ca="1" si="15"/>
        <v>1.8254272766305375E-2</v>
      </c>
      <c r="AN23" s="55">
        <f t="shared" ca="1" si="15"/>
        <v>4.4300983706833511E-2</v>
      </c>
      <c r="AO23" s="55">
        <f t="shared" ca="1" si="15"/>
        <v>8.0634977185276388E-2</v>
      </c>
      <c r="AP23" s="55">
        <f t="shared" ca="1" si="15"/>
        <v>0.11741499175183506</v>
      </c>
      <c r="AQ23" s="55">
        <f t="shared" ca="1" si="16"/>
        <v>0.1561632490262794</v>
      </c>
      <c r="AR23" s="55">
        <f t="shared" ca="1" si="16"/>
        <v>0.1267837134937517</v>
      </c>
      <c r="AS23" s="55">
        <f t="shared" ca="1" si="16"/>
        <v>8.2345161784182538E-2</v>
      </c>
      <c r="AT23" s="55">
        <f t="shared" ca="1" si="16"/>
        <v>4.0111967947665708E-2</v>
      </c>
      <c r="AU23" s="55">
        <f t="shared" ca="1" si="16"/>
        <v>1.3026225526574677E-2</v>
      </c>
      <c r="AV23" s="55">
        <f t="shared" ca="1" si="16"/>
        <v>2.1151112766465544E-3</v>
      </c>
      <c r="AW23" s="55">
        <f t="shared" ca="1" si="17"/>
        <v>0.11741499175183506</v>
      </c>
      <c r="AX23" s="55">
        <f t="shared" ca="1" si="18"/>
        <v>0.1561632490262794</v>
      </c>
      <c r="AY23" s="54">
        <f t="shared" ca="1" si="3"/>
        <v>5</v>
      </c>
      <c r="AZ23" s="54">
        <f t="shared" ca="1" si="4"/>
        <v>5</v>
      </c>
      <c r="BA23" s="54" t="str">
        <f t="shared" si="5"/>
        <v>East BengalGoa</v>
      </c>
      <c r="BB23" s="54">
        <f t="shared" si="19"/>
        <v>0</v>
      </c>
      <c r="BC23" s="54">
        <f t="shared" si="20"/>
        <v>3</v>
      </c>
      <c r="BD23" s="54">
        <f t="shared" si="21"/>
        <v>1</v>
      </c>
      <c r="BE23" s="54" t="str">
        <f t="shared" si="6"/>
        <v>HL</v>
      </c>
      <c r="BF23" s="55" t="str">
        <f t="shared" si="7"/>
        <v>AW</v>
      </c>
      <c r="BG23" s="86">
        <f t="shared" ca="1" si="8"/>
        <v>4.4872456690286437E-2</v>
      </c>
      <c r="BH23" s="86">
        <f t="shared" ca="1" si="9"/>
        <v>3.3006071202231479E-2</v>
      </c>
      <c r="BI23" s="87">
        <f t="shared" ca="1" si="22"/>
        <v>0.92212147210748208</v>
      </c>
    </row>
    <row r="24" spans="1:61" x14ac:dyDescent="0.2">
      <c r="A24" s="52">
        <f>'ISL 8'!B25</f>
        <v>44538</v>
      </c>
      <c r="B24" s="54">
        <f>'ISL 8'!C25</f>
        <v>22</v>
      </c>
      <c r="C24" s="54" t="str">
        <f>'ISL 8'!D25</f>
        <v>Hyderabad</v>
      </c>
      <c r="D24" s="54">
        <f>IF('ISL 8'!E25&lt;&gt;"",'ISL 8'!E25,INDEX($AK$2:$AP$2,,MATCH($AW24,AK24:AP24,0)))</f>
        <v>1</v>
      </c>
      <c r="E24" s="54" t="str">
        <f>'ISL 8'!G25</f>
        <v>Bengaluru</v>
      </c>
      <c r="F24" s="54">
        <f>IF('ISL 8'!F25&lt;&gt;"",'ISL 8'!F25,INDEX($AQ$2:$AV$2,,MATCH($AX24,AQ24:AV24,0)))</f>
        <v>0</v>
      </c>
      <c r="G24" s="55">
        <f>VLOOKUP($C24,'ISL Total'!$D$5:$AH$15,25,0)</f>
        <v>2.6008540597170162</v>
      </c>
      <c r="H24" s="55">
        <f>VLOOKUP($C24,'ISL Total'!$D$5:$AH$15,28,0)</f>
        <v>1.7011584411618765</v>
      </c>
      <c r="I24" s="55">
        <f>VLOOKUP($E24,'ISL Total'!$D$5:$AH$15,26,0)</f>
        <v>2.137197984655903</v>
      </c>
      <c r="J24" s="55">
        <f>VLOOKUP(E24,'ISL Total'!$D$5:$AH$15,29,0)</f>
        <v>1.6538618669066225</v>
      </c>
      <c r="K24" s="55">
        <f t="shared" si="10"/>
        <v>6.1588599795437045</v>
      </c>
      <c r="L24" s="55">
        <f t="shared" si="0"/>
        <v>4.8703332781523727</v>
      </c>
      <c r="M24" s="55">
        <f t="shared" ca="1" si="11"/>
        <v>6.4577242114683786</v>
      </c>
      <c r="N24" s="55">
        <v>6.4113510688918822</v>
      </c>
      <c r="O24" s="55">
        <v>6.228697701888299</v>
      </c>
      <c r="P24" s="55">
        <v>6.6854296583773545</v>
      </c>
      <c r="Q24" s="55">
        <v>6.1007423584670146</v>
      </c>
      <c r="R24" s="55">
        <v>6.3408018230891416</v>
      </c>
      <c r="S24" s="55">
        <v>5.5575306528060944</v>
      </c>
      <c r="T24" s="55">
        <v>5.8509348159578822</v>
      </c>
      <c r="U24" s="55">
        <v>6.7953587287500712</v>
      </c>
      <c r="V24" s="55">
        <v>5.9374404716657301</v>
      </c>
      <c r="W24" s="55">
        <v>6.0346717655831483</v>
      </c>
      <c r="X24" s="55">
        <f t="shared" ca="1" si="12"/>
        <v>6.2182439324495453</v>
      </c>
      <c r="Y24" s="55">
        <f t="shared" ca="1" si="13"/>
        <v>4.9395636965514065</v>
      </c>
      <c r="Z24" s="55">
        <v>4.4939118347118905</v>
      </c>
      <c r="AA24" s="55">
        <v>4.7893868642377786</v>
      </c>
      <c r="AB24" s="55">
        <v>4.6888944590384867</v>
      </c>
      <c r="AC24" s="55">
        <v>4.6888948286118115</v>
      </c>
      <c r="AD24" s="55">
        <v>4.9841780405752525</v>
      </c>
      <c r="AE24" s="55">
        <v>5.0579032738551648</v>
      </c>
      <c r="AF24" s="55">
        <v>4.9424292219638781</v>
      </c>
      <c r="AG24" s="55">
        <v>4.9900923919872984</v>
      </c>
      <c r="AH24" s="55">
        <v>4.5350922073690922</v>
      </c>
      <c r="AI24" s="55">
        <v>4.7368771089107584</v>
      </c>
      <c r="AJ24" s="55">
        <f t="shared" ca="1" si="14"/>
        <v>4.8042930843466189</v>
      </c>
      <c r="AK24" s="55">
        <f t="shared" ca="1" si="15"/>
        <v>1.9927415352278721E-3</v>
      </c>
      <c r="AL24" s="55">
        <f t="shared" ca="1" si="15"/>
        <v>1.2391352960370907E-2</v>
      </c>
      <c r="AM24" s="55">
        <f t="shared" ca="1" si="15"/>
        <v>3.8526227680333563E-2</v>
      </c>
      <c r="AN24" s="55">
        <f t="shared" ca="1" si="15"/>
        <v>7.9855160504467948E-2</v>
      </c>
      <c r="AO24" s="55">
        <f t="shared" ca="1" si="15"/>
        <v>0.12413971682042316</v>
      </c>
      <c r="AP24" s="55">
        <f t="shared" ca="1" si="15"/>
        <v>0.15438620817892018</v>
      </c>
      <c r="AQ24" s="55">
        <f t="shared" ca="1" si="16"/>
        <v>0.17477859572363841</v>
      </c>
      <c r="AR24" s="55">
        <f t="shared" ca="1" si="16"/>
        <v>0.18189834868016613</v>
      </c>
      <c r="AS24" s="55">
        <f t="shared" ca="1" si="16"/>
        <v>0.15144650460466583</v>
      </c>
      <c r="AT24" s="55">
        <f t="shared" ca="1" si="16"/>
        <v>9.4569483134642585E-2</v>
      </c>
      <c r="AU24" s="55">
        <f t="shared" ca="1" si="16"/>
        <v>3.9368740197291252E-2</v>
      </c>
      <c r="AV24" s="55">
        <f t="shared" ca="1" si="16"/>
        <v>8.1944917818529348E-3</v>
      </c>
      <c r="AW24" s="55">
        <f t="shared" ca="1" si="17"/>
        <v>0.15438620817892018</v>
      </c>
      <c r="AX24" s="55">
        <f t="shared" ca="1" si="18"/>
        <v>0.18189834868016613</v>
      </c>
      <c r="AY24" s="54">
        <f t="shared" ca="1" si="3"/>
        <v>5</v>
      </c>
      <c r="AZ24" s="54">
        <f t="shared" ca="1" si="4"/>
        <v>4</v>
      </c>
      <c r="BA24" s="54" t="str">
        <f t="shared" si="5"/>
        <v>HyderabadBengaluru</v>
      </c>
      <c r="BB24" s="54">
        <f t="shared" si="19"/>
        <v>3</v>
      </c>
      <c r="BC24" s="54">
        <f t="shared" si="20"/>
        <v>0</v>
      </c>
      <c r="BD24" s="54">
        <f t="shared" si="21"/>
        <v>1</v>
      </c>
      <c r="BE24" s="54" t="str">
        <f t="shared" si="6"/>
        <v>HW</v>
      </c>
      <c r="BF24" s="55" t="str">
        <f t="shared" si="7"/>
        <v>AL</v>
      </c>
      <c r="BG24" s="86">
        <f t="shared" ca="1" si="8"/>
        <v>0.12313602358219351</v>
      </c>
      <c r="BH24" s="86">
        <f t="shared" ca="1" si="9"/>
        <v>6.5805565991293877E-2</v>
      </c>
      <c r="BI24" s="87">
        <f t="shared" ca="1" si="22"/>
        <v>0.81105841042651261</v>
      </c>
    </row>
    <row r="25" spans="1:61" x14ac:dyDescent="0.2">
      <c r="A25" s="52">
        <f>'ISL 8'!B26</f>
        <v>44539</v>
      </c>
      <c r="B25" s="54">
        <f>'ISL 8'!C26</f>
        <v>23</v>
      </c>
      <c r="C25" s="54" t="str">
        <f>'ISL 8'!D26</f>
        <v>Mumbai City</v>
      </c>
      <c r="D25" s="54">
        <f>IF('ISL 8'!E26&lt;&gt;"",'ISL 8'!E26,INDEX($AK$2:$AP$2,,MATCH($AW25,AK25:AP25,0)))</f>
        <v>4</v>
      </c>
      <c r="E25" s="54" t="str">
        <f>'ISL 8'!G26</f>
        <v>Jamshedpur</v>
      </c>
      <c r="F25" s="54">
        <f>IF('ISL 8'!F26&lt;&gt;"",'ISL 8'!F26,INDEX($AQ$2:$AV$2,,MATCH($AX25,AQ25:AV25,0)))</f>
        <v>2</v>
      </c>
      <c r="G25" s="55">
        <f>VLOOKUP($C25,'ISL Total'!$D$5:$AH$15,25,0)</f>
        <v>1.711666848062984</v>
      </c>
      <c r="H25" s="55">
        <f>VLOOKUP($C25,'ISL Total'!$D$5:$AH$15,28,0)</f>
        <v>2.0663350700408412</v>
      </c>
      <c r="I25" s="55">
        <f>VLOOKUP($E25,'ISL Total'!$D$5:$AH$15,26,0)</f>
        <v>2.1921504637581588</v>
      </c>
      <c r="J25" s="55">
        <f>VLOOKUP(E25,'ISL Total'!$D$5:$AH$15,29,0)</f>
        <v>1.9716600419922359</v>
      </c>
      <c r="K25" s="55">
        <f t="shared" si="10"/>
        <v>4.8321052754326654</v>
      </c>
      <c r="L25" s="55">
        <f t="shared" si="0"/>
        <v>6.0679258774351092</v>
      </c>
      <c r="M25" s="55">
        <f t="shared" ca="1" si="11"/>
        <v>4.7416427039561242</v>
      </c>
      <c r="N25" s="55">
        <v>5.4847707823953868</v>
      </c>
      <c r="O25" s="55">
        <v>5.1522963882848751</v>
      </c>
      <c r="P25" s="55">
        <v>4.3589007667258546</v>
      </c>
      <c r="Q25" s="55">
        <v>5.0738679478351028</v>
      </c>
      <c r="R25" s="55">
        <v>5.0583619536351385</v>
      </c>
      <c r="S25" s="55">
        <v>5.543187092465911</v>
      </c>
      <c r="T25" s="55">
        <v>5.0992488874648103</v>
      </c>
      <c r="U25" s="55">
        <v>4.7211756411988253</v>
      </c>
      <c r="V25" s="55">
        <v>5.1083079918362557</v>
      </c>
      <c r="W25" s="55">
        <v>4.7099511753708141</v>
      </c>
      <c r="X25" s="55">
        <f t="shared" ca="1" si="12"/>
        <v>5.0047010301062818</v>
      </c>
      <c r="Y25" s="55">
        <f t="shared" ca="1" si="13"/>
        <v>5.6367214171314011</v>
      </c>
      <c r="Z25" s="55">
        <v>6.2445638087316286</v>
      </c>
      <c r="AA25" s="55">
        <v>5.8010275116911076</v>
      </c>
      <c r="AB25" s="55">
        <v>6.181368738729625</v>
      </c>
      <c r="AC25" s="55">
        <v>6.3622424078702942</v>
      </c>
      <c r="AD25" s="55">
        <v>6.0657470189361016</v>
      </c>
      <c r="AE25" s="55">
        <v>5.5038488394483807</v>
      </c>
      <c r="AF25" s="55">
        <v>6.4017418424425099</v>
      </c>
      <c r="AG25" s="55">
        <v>6.3239634145825887</v>
      </c>
      <c r="AH25" s="55">
        <v>6.4595746729132522</v>
      </c>
      <c r="AI25" s="55">
        <v>6.1024423871733493</v>
      </c>
      <c r="AJ25" s="55">
        <f t="shared" ca="1" si="14"/>
        <v>6.0984765508772947</v>
      </c>
      <c r="AK25" s="55">
        <f t="shared" ca="1" si="15"/>
        <v>6.7063460441061798E-3</v>
      </c>
      <c r="AL25" s="55">
        <f t="shared" ref="AL25:AP39" ca="1" si="23">_xlfn.POISSON.DIST(AL$2,$X25,0)</f>
        <v>3.3563256955187387E-2</v>
      </c>
      <c r="AM25" s="55">
        <f t="shared" ca="1" si="23"/>
        <v>8.3987033328674063E-2</v>
      </c>
      <c r="AN25" s="55">
        <f t="shared" ca="1" si="23"/>
        <v>0.14010999740519525</v>
      </c>
      <c r="AO25" s="55">
        <f t="shared" ca="1" si="23"/>
        <v>0.17530216208549232</v>
      </c>
      <c r="AP25" s="55">
        <f t="shared" ca="1" si="23"/>
        <v>0.17546698223382431</v>
      </c>
      <c r="AQ25" s="55">
        <f t="shared" ca="1" si="16"/>
        <v>0.15790316359136616</v>
      </c>
      <c r="AR25" s="55">
        <f t="shared" ca="1" si="16"/>
        <v>0.12946115499013522</v>
      </c>
      <c r="AS25" s="55">
        <f t="shared" ca="1" si="16"/>
        <v>8.4913767502483306E-2</v>
      </c>
      <c r="AT25" s="55">
        <f t="shared" ca="1" si="16"/>
        <v>4.1771301468856874E-2</v>
      </c>
      <c r="AU25" s="55">
        <f t="shared" ca="1" si="16"/>
        <v>1.3698929927949913E-2</v>
      </c>
      <c r="AV25" s="55">
        <f t="shared" ca="1" si="16"/>
        <v>2.246287218400349E-3</v>
      </c>
      <c r="AW25" s="55">
        <f t="shared" ca="1" si="17"/>
        <v>0.17546698223382431</v>
      </c>
      <c r="AX25" s="55">
        <f t="shared" ca="1" si="18"/>
        <v>0.15790316359136616</v>
      </c>
      <c r="AY25" s="54">
        <f t="shared" ca="1" si="3"/>
        <v>5</v>
      </c>
      <c r="AZ25" s="54">
        <f t="shared" ca="1" si="4"/>
        <v>5</v>
      </c>
      <c r="BA25" s="54" t="str">
        <f t="shared" si="5"/>
        <v>Mumbai CityJamshedpur</v>
      </c>
      <c r="BB25" s="54">
        <f t="shared" si="19"/>
        <v>3</v>
      </c>
      <c r="BC25" s="54">
        <f t="shared" si="20"/>
        <v>0</v>
      </c>
      <c r="BD25" s="54">
        <f t="shared" si="21"/>
        <v>2</v>
      </c>
      <c r="BE25" s="54" t="str">
        <f t="shared" si="6"/>
        <v>HW</v>
      </c>
      <c r="BF25" s="55" t="str">
        <f t="shared" si="7"/>
        <v>AL</v>
      </c>
      <c r="BG25" s="86">
        <f t="shared" ca="1" si="8"/>
        <v>8.2247707070569373E-2</v>
      </c>
      <c r="BH25" s="86">
        <f t="shared" ca="1" si="9"/>
        <v>6.628197249407583E-2</v>
      </c>
      <c r="BI25" s="87">
        <f t="shared" ca="1" si="22"/>
        <v>0.85147032043535487</v>
      </c>
    </row>
    <row r="26" spans="1:61" x14ac:dyDescent="0.2">
      <c r="A26" s="52">
        <f>'ISL 8'!B27</f>
        <v>44540</v>
      </c>
      <c r="B26" s="54">
        <f>'ISL 8'!C27</f>
        <v>24</v>
      </c>
      <c r="C26" s="54" t="str">
        <f>'ISL 8'!D27</f>
        <v>Odisha</v>
      </c>
      <c r="D26" s="54">
        <f>IF('ISL 8'!E27&lt;&gt;"",'ISL 8'!E27,INDEX($AK$2:$AP$2,,MATCH($AW26,AK26:AP26,0)))</f>
        <v>1</v>
      </c>
      <c r="E26" s="54" t="str">
        <f>'ISL 8'!G27</f>
        <v>NorthEast United</v>
      </c>
      <c r="F26" s="54">
        <f>IF('ISL 8'!F27&lt;&gt;"",'ISL 8'!F27,INDEX($AQ$2:$AV$2,,MATCH($AX26,AQ26:AV26,0)))</f>
        <v>0</v>
      </c>
      <c r="G26" s="55">
        <f>VLOOKUP($C26,'ISL Total'!$D$5:$AH$15,25,0)</f>
        <v>1.4571180555555554</v>
      </c>
      <c r="H26" s="55">
        <f>VLOOKUP($C26,'ISL Total'!$D$5:$AH$15,28,0)</f>
        <v>1.7565140845070424</v>
      </c>
      <c r="I26" s="55">
        <f>VLOOKUP($E26,'ISL Total'!$D$5:$AH$15,26,0)</f>
        <v>1.8614679949616395</v>
      </c>
      <c r="J26" s="55">
        <f>VLOOKUP(E26,'ISL Total'!$D$5:$AH$15,29,0)</f>
        <v>2.7778362426875027</v>
      </c>
      <c r="K26" s="55">
        <f t="shared" si="10"/>
        <v>5.7954410527886688</v>
      </c>
      <c r="L26" s="55">
        <f t="shared" si="0"/>
        <v>4.3800227955715911</v>
      </c>
      <c r="M26" s="55">
        <f t="shared" ca="1" si="11"/>
        <v>6.0954296283129494</v>
      </c>
      <c r="N26" s="55">
        <v>6.2640046706128389</v>
      </c>
      <c r="O26" s="55">
        <v>6.4168468631201732</v>
      </c>
      <c r="P26" s="55">
        <v>5.480715975927251</v>
      </c>
      <c r="Q26" s="55">
        <v>6.0776134736105654</v>
      </c>
      <c r="R26" s="55">
        <v>5.5935255955958505</v>
      </c>
      <c r="S26" s="55">
        <v>5.9479385190573826</v>
      </c>
      <c r="T26" s="55">
        <v>5.6045993550895252</v>
      </c>
      <c r="U26" s="55">
        <v>5.3310404093856443</v>
      </c>
      <c r="V26" s="55">
        <v>6.1541058990299993</v>
      </c>
      <c r="W26" s="55">
        <v>6.2076673897784014</v>
      </c>
      <c r="X26" s="55">
        <f t="shared" ca="1" si="12"/>
        <v>5.9248625254109619</v>
      </c>
      <c r="Y26" s="55">
        <f t="shared" ca="1" si="13"/>
        <v>4.5312786600485566</v>
      </c>
      <c r="Z26" s="55">
        <v>4.6743969468629158</v>
      </c>
      <c r="AA26" s="55">
        <v>4.2025451849895434</v>
      </c>
      <c r="AB26" s="55">
        <v>4.3324373586990887</v>
      </c>
      <c r="AC26" s="55">
        <v>4.6151712230147366</v>
      </c>
      <c r="AD26" s="55">
        <v>4.7832733766896744</v>
      </c>
      <c r="AE26" s="55">
        <v>4.0839655291751518</v>
      </c>
      <c r="AF26" s="55">
        <v>4.6797022047390833</v>
      </c>
      <c r="AG26" s="55">
        <v>4.5523046889916738</v>
      </c>
      <c r="AH26" s="55">
        <v>4.0542653239258879</v>
      </c>
      <c r="AI26" s="55">
        <v>4.0406304591016635</v>
      </c>
      <c r="AJ26" s="55">
        <f t="shared" ca="1" si="14"/>
        <v>4.4136337232943612</v>
      </c>
      <c r="AK26" s="55">
        <f t="shared" ca="1" si="15"/>
        <v>2.6721750161117163E-3</v>
      </c>
      <c r="AL26" s="55">
        <f t="shared" ca="1" si="23"/>
        <v>1.5832269614299739E-2</v>
      </c>
      <c r="AM26" s="55">
        <f t="shared" ca="1" si="23"/>
        <v>4.6902010464983587E-2</v>
      </c>
      <c r="AN26" s="55">
        <f t="shared" ca="1" si="23"/>
        <v>9.2629321390138089E-2</v>
      </c>
      <c r="AO26" s="55">
        <f t="shared" ca="1" si="23"/>
        <v>0.13720399876466924</v>
      </c>
      <c r="AP26" s="55">
        <f t="shared" ca="1" si="23"/>
        <v>0.1625829661234641</v>
      </c>
      <c r="AQ26" s="55">
        <f t="shared" ca="1" si="16"/>
        <v>0.16903764329002746</v>
      </c>
      <c r="AR26" s="55">
        <f t="shared" ca="1" si="16"/>
        <v>0.19149487008615751</v>
      </c>
      <c r="AS26" s="55">
        <f t="shared" ca="1" si="16"/>
        <v>0.17354849277635537</v>
      </c>
      <c r="AT26" s="55">
        <f t="shared" ca="1" si="16"/>
        <v>0.11796300077670548</v>
      </c>
      <c r="AU26" s="55">
        <f t="shared" ca="1" si="16"/>
        <v>5.3453914924620073E-2</v>
      </c>
      <c r="AV26" s="55">
        <f t="shared" ca="1" si="16"/>
        <v>1.2111089926311731E-2</v>
      </c>
      <c r="AW26" s="55">
        <f t="shared" ca="1" si="17"/>
        <v>0.1625829661234641</v>
      </c>
      <c r="AX26" s="55">
        <f t="shared" ca="1" si="18"/>
        <v>0.19149487008615751</v>
      </c>
      <c r="AY26" s="54">
        <f t="shared" ca="1" si="3"/>
        <v>5</v>
      </c>
      <c r="AZ26" s="54">
        <f t="shared" ca="1" si="4"/>
        <v>4</v>
      </c>
      <c r="BA26" s="54" t="str">
        <f t="shared" si="5"/>
        <v>OdishaNorthEast United</v>
      </c>
      <c r="BB26" s="54">
        <f t="shared" si="19"/>
        <v>3</v>
      </c>
      <c r="BC26" s="54">
        <f t="shared" si="20"/>
        <v>0</v>
      </c>
      <c r="BD26" s="54">
        <f t="shared" si="21"/>
        <v>1</v>
      </c>
      <c r="BE26" s="54" t="str">
        <f t="shared" si="6"/>
        <v>HW</v>
      </c>
      <c r="BF26" s="55" t="str">
        <f t="shared" si="7"/>
        <v>AL</v>
      </c>
      <c r="BG26" s="86">
        <f t="shared" ca="1" si="8"/>
        <v>0.15844763486751523</v>
      </c>
      <c r="BH26" s="86">
        <f t="shared" ca="1" si="9"/>
        <v>7.624354410736478E-2</v>
      </c>
      <c r="BI26" s="87">
        <f t="shared" ca="1" si="22"/>
        <v>0.76530882102511999</v>
      </c>
    </row>
    <row r="27" spans="1:61" x14ac:dyDescent="0.2">
      <c r="A27" s="52">
        <f>'ISL 8'!B28</f>
        <v>44541</v>
      </c>
      <c r="B27" s="54">
        <f>'ISL 8'!C28</f>
        <v>25</v>
      </c>
      <c r="C27" s="54" t="str">
        <f>'ISL 8'!D28</f>
        <v>ATK-MB</v>
      </c>
      <c r="D27" s="54">
        <f>IF('ISL 8'!E28&lt;&gt;"",'ISL 8'!E28,INDEX($AK$2:$AP$2,,MATCH($AW27,AK27:AP27,0)))</f>
        <v>1</v>
      </c>
      <c r="E27" s="54" t="str">
        <f>'ISL 8'!G28</f>
        <v>Chennaiyin</v>
      </c>
      <c r="F27" s="54">
        <f>IF('ISL 8'!F28&lt;&gt;"",'ISL 8'!F28,INDEX($AQ$2:$AV$2,,MATCH($AX27,AQ27:AV27,0)))</f>
        <v>1</v>
      </c>
      <c r="G27" s="55">
        <f>VLOOKUP($C27,'ISL Total'!$D$5:$AH$15,25,0)</f>
        <v>2.0695986245708529</v>
      </c>
      <c r="H27" s="55">
        <f>VLOOKUP($C27,'ISL Total'!$D$5:$AH$15,28,0)</f>
        <v>1.8323600137409826</v>
      </c>
      <c r="I27" s="55">
        <f>VLOOKUP($E27,'ISL Total'!$D$5:$AH$15,26,0)</f>
        <v>1.4832889614107407</v>
      </c>
      <c r="J27" s="55">
        <f>VLOOKUP(E27,'ISL Total'!$D$5:$AH$15,29,0)</f>
        <v>1.6817905576540886</v>
      </c>
      <c r="K27" s="55">
        <f>($K$2*G27*J27)</f>
        <v>4.9835996902822872</v>
      </c>
      <c r="L27" s="55">
        <f>$L$2*H27*I27</f>
        <v>3.6408746855503606</v>
      </c>
      <c r="M27" s="55">
        <f t="shared" ca="1" si="11"/>
        <v>4.6511646617089148</v>
      </c>
      <c r="N27" s="55">
        <v>4.450906856749004</v>
      </c>
      <c r="O27" s="55">
        <v>5.2384023957348687</v>
      </c>
      <c r="P27" s="55">
        <v>5.377884722486499</v>
      </c>
      <c r="Q27" s="55">
        <v>5.8608096069325661</v>
      </c>
      <c r="R27" s="55">
        <v>4.5788013071020552</v>
      </c>
      <c r="S27" s="55">
        <v>4.933337458341521</v>
      </c>
      <c r="T27" s="55">
        <v>4.7538462857439843</v>
      </c>
      <c r="U27" s="55">
        <v>4.7806250757436874</v>
      </c>
      <c r="V27" s="55">
        <v>4.8764210381803172</v>
      </c>
      <c r="W27" s="55">
        <v>5.1315461320054476</v>
      </c>
      <c r="X27" s="55">
        <f t="shared" ca="1" si="12"/>
        <v>4.9667041400662599</v>
      </c>
      <c r="Y27" s="55">
        <f t="shared" ca="1" si="13"/>
        <v>3.4255266064415499</v>
      </c>
      <c r="Z27" s="55">
        <v>2.9434388805233715</v>
      </c>
      <c r="AA27" s="55">
        <v>3.8025506365722617</v>
      </c>
      <c r="AB27" s="55">
        <v>3.363713838869816</v>
      </c>
      <c r="AC27" s="55">
        <v>3.7124347373011299</v>
      </c>
      <c r="AD27" s="55">
        <v>3.85230693085719</v>
      </c>
      <c r="AE27" s="55">
        <v>3.7360417200242413</v>
      </c>
      <c r="AF27" s="55">
        <v>3.3887939460876431</v>
      </c>
      <c r="AG27" s="55">
        <v>3.7016668277395515</v>
      </c>
      <c r="AH27" s="55">
        <v>3.7051614530873525</v>
      </c>
      <c r="AI27" s="55">
        <v>3.7476046991546665</v>
      </c>
      <c r="AJ27" s="55">
        <f t="shared" ca="1" si="14"/>
        <v>3.5799309342417063</v>
      </c>
      <c r="AK27" s="55">
        <f t="shared" ca="1" si="15"/>
        <v>6.9660694302734272E-3</v>
      </c>
      <c r="AL27" s="55">
        <f t="shared" ca="1" si="23"/>
        <v>3.459840587932804E-2</v>
      </c>
      <c r="AM27" s="55">
        <f t="shared" ca="1" si="23"/>
        <v>8.5920022860275724E-2</v>
      </c>
      <c r="AN27" s="55">
        <f t="shared" ca="1" si="23"/>
        <v>0.14224644441823975</v>
      </c>
      <c r="AO27" s="55">
        <f t="shared" ca="1" si="23"/>
        <v>0.1766240011004441</v>
      </c>
      <c r="AP27" s="55">
        <f t="shared" ca="1" si="23"/>
        <v>0.17544783150012866</v>
      </c>
      <c r="AQ27" s="55">
        <f t="shared" ca="1" si="16"/>
        <v>0.1365990704945276</v>
      </c>
      <c r="AR27" s="55">
        <f t="shared" ca="1" si="16"/>
        <v>0.19078450534893038</v>
      </c>
      <c r="AS27" s="55">
        <f t="shared" ca="1" si="16"/>
        <v>0.21317115760429262</v>
      </c>
      <c r="AT27" s="55">
        <f t="shared" ca="1" si="16"/>
        <v>0.17863849458546566</v>
      </c>
      <c r="AU27" s="55">
        <f t="shared" ca="1" si="16"/>
        <v>9.9799967019924885E-2</v>
      </c>
      <c r="AV27" s="55">
        <f t="shared" ca="1" si="16"/>
        <v>2.7877623577971154E-2</v>
      </c>
      <c r="AW27" s="55">
        <f t="shared" ca="1" si="17"/>
        <v>0.1766240011004441</v>
      </c>
      <c r="AX27" s="55">
        <f t="shared" ca="1" si="18"/>
        <v>0.21317115760429262</v>
      </c>
      <c r="AY27" s="54">
        <f t="shared" ca="1" si="3"/>
        <v>4</v>
      </c>
      <c r="AZ27" s="54">
        <f t="shared" ca="1" si="4"/>
        <v>3</v>
      </c>
      <c r="BA27" s="54" t="str">
        <f t="shared" si="5"/>
        <v>ATK-MBChennaiyin</v>
      </c>
      <c r="BB27" s="54">
        <f t="shared" si="19"/>
        <v>1</v>
      </c>
      <c r="BC27" s="54">
        <f t="shared" si="20"/>
        <v>1</v>
      </c>
      <c r="BD27" s="54">
        <f t="shared" si="21"/>
        <v>0</v>
      </c>
      <c r="BE27" s="54" t="str">
        <f t="shared" si="6"/>
        <v>HD</v>
      </c>
      <c r="BF27" s="55" t="str">
        <f t="shared" si="7"/>
        <v>AD</v>
      </c>
      <c r="BG27" s="86">
        <f t="shared" ca="1" si="8"/>
        <v>0.27187651015202841</v>
      </c>
      <c r="BH27" s="86">
        <f t="shared" ca="1" si="9"/>
        <v>0.10698171337322861</v>
      </c>
      <c r="BI27" s="87">
        <f t="shared" ca="1" si="22"/>
        <v>0.621141776474743</v>
      </c>
    </row>
    <row r="28" spans="1:61" x14ac:dyDescent="0.2">
      <c r="A28" s="52">
        <f>'ISL 8'!B29</f>
        <v>44541</v>
      </c>
      <c r="B28" s="54">
        <f>'ISL 8'!C29</f>
        <v>26</v>
      </c>
      <c r="C28" s="54" t="str">
        <f>'ISL 8'!D29</f>
        <v>Goa</v>
      </c>
      <c r="D28" s="54">
        <f>IF('ISL 8'!E29&lt;&gt;"",'ISL 8'!E29,INDEX($AK$2:$AP$2,,MATCH($AW28,AK28:AP28,0)))</f>
        <v>2</v>
      </c>
      <c r="E28" s="54" t="str">
        <f>'ISL 8'!G29</f>
        <v>Bengaluru</v>
      </c>
      <c r="F28" s="54">
        <f>IF('ISL 8'!F29&lt;&gt;"",'ISL 8'!F29,INDEX($AQ$2:$AV$2,,MATCH($AX28,AQ28:AV28,0)))</f>
        <v>1</v>
      </c>
      <c r="G28" s="55">
        <f>VLOOKUP($C28,'ISL Total'!$D$5:$AH$15,25,0)</f>
        <v>1.7934931050517995</v>
      </c>
      <c r="H28" s="55">
        <f>VLOOKUP($C28,'ISL Total'!$D$5:$AH$15,28,0)</f>
        <v>2.0847265162792477</v>
      </c>
      <c r="I28" s="55">
        <f>VLOOKUP($E28,'ISL Total'!$D$5:$AH$15,26,0)</f>
        <v>2.137197984655903</v>
      </c>
      <c r="J28" s="55">
        <f>VLOOKUP(E28,'ISL Total'!$D$5:$AH$15,29,0)</f>
        <v>1.6538618669066225</v>
      </c>
      <c r="K28" s="55">
        <f t="shared" ref="K28:K32" si="24">($K$2*G28*J28)</f>
        <v>4.2470175775617864</v>
      </c>
      <c r="L28" s="55">
        <f t="shared" ref="L28:L32" si="25">$L$2*H28*I28</f>
        <v>5.9684698864068526</v>
      </c>
      <c r="M28" s="55">
        <f t="shared" ca="1" si="11"/>
        <v>4.0894212816184528</v>
      </c>
      <c r="N28" s="55">
        <v>4.4000832707537603</v>
      </c>
      <c r="O28" s="55">
        <v>4.5035658512539554</v>
      </c>
      <c r="P28" s="55">
        <v>4.4126865384686145</v>
      </c>
      <c r="Q28" s="55">
        <v>4.1481551066521822</v>
      </c>
      <c r="R28" s="55">
        <v>3.4615329133093926</v>
      </c>
      <c r="S28" s="55">
        <v>4.6779070478039353</v>
      </c>
      <c r="T28" s="55">
        <v>4.1707277869850428</v>
      </c>
      <c r="U28" s="55">
        <v>4.5750277248834941</v>
      </c>
      <c r="V28" s="55">
        <v>4.1598966611147103</v>
      </c>
      <c r="W28" s="55">
        <v>4.9740105942263995</v>
      </c>
      <c r="X28" s="55">
        <f t="shared" ca="1" si="12"/>
        <v>4.3248195251881763</v>
      </c>
      <c r="Y28" s="55">
        <f t="shared" ca="1" si="13"/>
        <v>6.0490491292753266</v>
      </c>
      <c r="Z28" s="55">
        <v>5.8480849651623785</v>
      </c>
      <c r="AA28" s="55">
        <v>5.9271459900421606</v>
      </c>
      <c r="AB28" s="55">
        <v>6.3541174557123732</v>
      </c>
      <c r="AC28" s="55">
        <v>6.3565498574313066</v>
      </c>
      <c r="AD28" s="55">
        <v>6.0432994406127634</v>
      </c>
      <c r="AE28" s="55">
        <v>5.7660395422748207</v>
      </c>
      <c r="AF28" s="55">
        <v>6.0062801094361502</v>
      </c>
      <c r="AG28" s="55">
        <v>6.1934631436597227</v>
      </c>
      <c r="AH28" s="55">
        <v>5.7993493076729363</v>
      </c>
      <c r="AI28" s="55">
        <v>6.1703408152699986</v>
      </c>
      <c r="AJ28" s="55">
        <f t="shared" ca="1" si="14"/>
        <v>6.0467017960499936</v>
      </c>
      <c r="AK28" s="55">
        <f t="shared" ca="1" si="15"/>
        <v>1.3235938634533354E-2</v>
      </c>
      <c r="AL28" s="55">
        <f t="shared" ca="1" si="23"/>
        <v>5.7243045840822383E-2</v>
      </c>
      <c r="AM28" s="55">
        <f t="shared" ca="1" si="23"/>
        <v>0.12378292116681523</v>
      </c>
      <c r="AN28" s="55">
        <f t="shared" ca="1" si="23"/>
        <v>0.17844626478235709</v>
      </c>
      <c r="AO28" s="55">
        <f t="shared" ca="1" si="23"/>
        <v>0.19293697253190933</v>
      </c>
      <c r="AP28" s="55">
        <f t="shared" ca="1" si="23"/>
        <v>0.16688351718733924</v>
      </c>
      <c r="AQ28" s="55">
        <f t="shared" ca="1" si="16"/>
        <v>0.15935374920695353</v>
      </c>
      <c r="AR28" s="55">
        <f t="shared" ca="1" si="16"/>
        <v>0.13176914835708561</v>
      </c>
      <c r="AS28" s="55">
        <f t="shared" ca="1" si="16"/>
        <v>8.7167618183627824E-2</v>
      </c>
      <c r="AT28" s="55">
        <f t="shared" ca="1" si="16"/>
        <v>4.3247188859505216E-2</v>
      </c>
      <c r="AU28" s="55">
        <f t="shared" ca="1" si="16"/>
        <v>1.4304389506278095E-2</v>
      </c>
      <c r="AV28" s="55">
        <f t="shared" ca="1" si="16"/>
        <v>2.3656515549720729E-3</v>
      </c>
      <c r="AW28" s="55">
        <f t="shared" ca="1" si="17"/>
        <v>0.19293697253190933</v>
      </c>
      <c r="AX28" s="55">
        <f t="shared" ca="1" si="18"/>
        <v>0.15935374920695353</v>
      </c>
      <c r="AY28" s="54">
        <f t="shared" ca="1" si="3"/>
        <v>4</v>
      </c>
      <c r="AZ28" s="54">
        <f t="shared" ca="1" si="4"/>
        <v>5</v>
      </c>
      <c r="BA28" s="54" t="str">
        <f t="shared" si="5"/>
        <v>GoaBengaluru</v>
      </c>
      <c r="BB28" s="54">
        <f t="shared" si="19"/>
        <v>3</v>
      </c>
      <c r="BC28" s="54">
        <f t="shared" si="20"/>
        <v>0</v>
      </c>
      <c r="BD28" s="54">
        <f t="shared" si="21"/>
        <v>1</v>
      </c>
      <c r="BE28" s="54" t="str">
        <f t="shared" si="6"/>
        <v>HW</v>
      </c>
      <c r="BF28" s="55" t="str">
        <f t="shared" si="7"/>
        <v>AL</v>
      </c>
      <c r="BG28" s="86">
        <f t="shared" ca="1" si="8"/>
        <v>8.7805130364212669E-2</v>
      </c>
      <c r="BH28" s="86">
        <f t="shared" ca="1" si="9"/>
        <v>7.3774792388940399E-2</v>
      </c>
      <c r="BI28" s="87">
        <f t="shared" ca="1" si="22"/>
        <v>0.83842007724684686</v>
      </c>
    </row>
    <row r="29" spans="1:61" x14ac:dyDescent="0.2">
      <c r="A29" s="52">
        <f>'ISL 8'!B30</f>
        <v>44542</v>
      </c>
      <c r="B29" s="54">
        <f>'ISL 8'!C30</f>
        <v>27</v>
      </c>
      <c r="C29" s="54" t="str">
        <f>'ISL 8'!D30</f>
        <v>East Bengal</v>
      </c>
      <c r="D29" s="54">
        <f>IF('ISL 8'!E30&lt;&gt;"",'ISL 8'!E30,INDEX($AK$2:$AP$2,,MATCH($AW29,AK29:AP29,0)))</f>
        <v>1</v>
      </c>
      <c r="E29" s="54" t="str">
        <f>'ISL 8'!G30</f>
        <v>Kerala Blasters</v>
      </c>
      <c r="F29" s="54">
        <f>IF('ISL 8'!F30&lt;&gt;"",'ISL 8'!F30,INDEX($AQ$2:$AV$2,,MATCH($AX29,AQ29:AV29,0)))</f>
        <v>1</v>
      </c>
      <c r="G29" s="55">
        <f>VLOOKUP($C29,'ISL Total'!$D$5:$AH$15,25,0)</f>
        <v>2.2983657473042753</v>
      </c>
      <c r="H29" s="55">
        <f>VLOOKUP($C29,'ISL Total'!$D$5:$AH$15,28,0)</f>
        <v>2.2682850490476736</v>
      </c>
      <c r="I29" s="55">
        <f>VLOOKUP($E29,'ISL Total'!$D$5:$AH$15,26,0)</f>
        <v>2.1526909424023817</v>
      </c>
      <c r="J29" s="55">
        <f>VLOOKUP(E29,'ISL Total'!$D$5:$AH$15,29,0)</f>
        <v>1.99017477973497</v>
      </c>
      <c r="K29" s="55">
        <f t="shared" si="24"/>
        <v>6.5493088673238935</v>
      </c>
      <c r="L29" s="55">
        <f t="shared" si="25"/>
        <v>6.5410651438068923</v>
      </c>
      <c r="M29" s="55">
        <f t="shared" ca="1" si="11"/>
        <v>6.3887094582365798</v>
      </c>
      <c r="N29" s="55">
        <v>6.672728789665527</v>
      </c>
      <c r="O29" s="55">
        <v>6.2288175923870464</v>
      </c>
      <c r="P29" s="55">
        <v>6.4958880979697708</v>
      </c>
      <c r="Q29" s="55">
        <v>6.682193057859477</v>
      </c>
      <c r="R29" s="55">
        <v>6.9326504338049162</v>
      </c>
      <c r="S29" s="55">
        <v>5.6773614555619218</v>
      </c>
      <c r="T29" s="55">
        <v>6.7032824623436245</v>
      </c>
      <c r="U29" s="55">
        <v>6.3205998281289935</v>
      </c>
      <c r="V29" s="55">
        <v>6.9872172839237887</v>
      </c>
      <c r="W29" s="55">
        <v>6.3061449597398394</v>
      </c>
      <c r="X29" s="55">
        <f t="shared" ca="1" si="12"/>
        <v>6.4905084926928618</v>
      </c>
      <c r="Y29" s="55">
        <f t="shared" ca="1" si="13"/>
        <v>6.2019910041554889</v>
      </c>
      <c r="Z29" s="55">
        <v>6.5907990439415238</v>
      </c>
      <c r="AA29" s="55">
        <v>6.4914962493668025</v>
      </c>
      <c r="AB29" s="55">
        <v>6.40900427922963</v>
      </c>
      <c r="AC29" s="55">
        <v>6.6566733049933156</v>
      </c>
      <c r="AD29" s="55">
        <v>6.1746620697648806</v>
      </c>
      <c r="AE29" s="55">
        <v>6.5530787230493592</v>
      </c>
      <c r="AF29" s="55">
        <v>6.4620622870935218</v>
      </c>
      <c r="AG29" s="55">
        <v>6.4939925974323112</v>
      </c>
      <c r="AH29" s="55">
        <v>6.3901878869181674</v>
      </c>
      <c r="AI29" s="55">
        <v>6.895704638706734</v>
      </c>
      <c r="AJ29" s="55">
        <f t="shared" ca="1" si="14"/>
        <v>6.4836047349683392</v>
      </c>
      <c r="AK29" s="55">
        <f t="shared" ca="1" si="15"/>
        <v>1.5177770332819316E-3</v>
      </c>
      <c r="AL29" s="55">
        <f t="shared" ca="1" si="23"/>
        <v>9.8511447245305511E-3</v>
      </c>
      <c r="AM29" s="55">
        <f t="shared" ca="1" si="23"/>
        <v>3.1969469248656013E-2</v>
      </c>
      <c r="AN29" s="55">
        <f t="shared" ca="1" si="23"/>
        <v>6.9166037221761734E-2</v>
      </c>
      <c r="AO29" s="55">
        <f t="shared" ca="1" si="23"/>
        <v>0.11223068799843876</v>
      </c>
      <c r="AP29" s="55">
        <f t="shared" ca="1" si="23"/>
        <v>0.14568684671892596</v>
      </c>
      <c r="AQ29" s="55">
        <f t="shared" ca="1" si="16"/>
        <v>0.14591759010442881</v>
      </c>
      <c r="AR29" s="55">
        <f t="shared" ca="1" si="16"/>
        <v>0.11252813524970488</v>
      </c>
      <c r="AS29" s="55">
        <f t="shared" ca="1" si="16"/>
        <v>6.9423192714263643E-2</v>
      </c>
      <c r="AT29" s="55">
        <f t="shared" ca="1" si="16"/>
        <v>3.2122497693223132E-2</v>
      </c>
      <c r="AU29" s="55">
        <f t="shared" ca="1" si="16"/>
        <v>9.9088389888961903E-3</v>
      </c>
      <c r="AV29" s="55">
        <f t="shared" ca="1" si="16"/>
        <v>1.5282916516261968E-3</v>
      </c>
      <c r="AW29" s="55">
        <f t="shared" ca="1" si="17"/>
        <v>0.14568684671892596</v>
      </c>
      <c r="AX29" s="55">
        <f t="shared" ca="1" si="18"/>
        <v>0.14591759010442881</v>
      </c>
      <c r="AY29" s="54">
        <f t="shared" ca="1" si="3"/>
        <v>5</v>
      </c>
      <c r="AZ29" s="54">
        <f t="shared" ca="1" si="4"/>
        <v>5</v>
      </c>
      <c r="BA29" s="54" t="str">
        <f t="shared" si="5"/>
        <v>East BengalKerala Blasters</v>
      </c>
      <c r="BB29" s="54">
        <f t="shared" si="19"/>
        <v>1</v>
      </c>
      <c r="BC29" s="54">
        <f t="shared" si="20"/>
        <v>1</v>
      </c>
      <c r="BD29" s="54">
        <f t="shared" si="21"/>
        <v>0</v>
      </c>
      <c r="BE29" s="54" t="str">
        <f t="shared" si="6"/>
        <v>HD</v>
      </c>
      <c r="BF29" s="55" t="str">
        <f t="shared" si="7"/>
        <v>AD</v>
      </c>
      <c r="BG29" s="86">
        <f t="shared" ca="1" si="8"/>
        <v>4.8927661155050484E-2</v>
      </c>
      <c r="BH29" s="86">
        <f t="shared" ca="1" si="9"/>
        <v>3.9815982967817229E-2</v>
      </c>
      <c r="BI29" s="87">
        <f t="shared" ca="1" si="22"/>
        <v>0.91125635587713227</v>
      </c>
    </row>
    <row r="30" spans="1:61" x14ac:dyDescent="0.2">
      <c r="A30" s="52">
        <f>'ISL 8'!B31</f>
        <v>44543</v>
      </c>
      <c r="B30" s="54">
        <f>'ISL 8'!C31</f>
        <v>28</v>
      </c>
      <c r="C30" s="54" t="str">
        <f>'ISL 8'!D31</f>
        <v>Hyderabad</v>
      </c>
      <c r="D30" s="54">
        <f>IF('ISL 8'!E31&lt;&gt;"",'ISL 8'!E31,INDEX($AK$2:$AP$2,,MATCH($AW30,AK30:AP30,0)))</f>
        <v>5</v>
      </c>
      <c r="E30" s="54" t="str">
        <f>'ISL 8'!G31</f>
        <v>NorthEast United</v>
      </c>
      <c r="F30" s="54">
        <f>IF('ISL 8'!F31&lt;&gt;"",'ISL 8'!F31,INDEX($AQ$2:$AV$2,,MATCH($AX30,AQ30:AV30,0)))</f>
        <v>1</v>
      </c>
      <c r="G30" s="55">
        <f>VLOOKUP($C30,'ISL Total'!$D$5:$AH$15,25,0)</f>
        <v>2.6008540597170162</v>
      </c>
      <c r="H30" s="55">
        <f>VLOOKUP($C30,'ISL Total'!$D$5:$AH$15,28,0)</f>
        <v>1.7011584411618765</v>
      </c>
      <c r="I30" s="55">
        <f>VLOOKUP($E30,'ISL Total'!$D$5:$AH$15,26,0)</f>
        <v>1.8614679949616395</v>
      </c>
      <c r="J30" s="55">
        <f>VLOOKUP(E30,'ISL Total'!$D$5:$AH$15,29,0)</f>
        <v>2.7778362426875027</v>
      </c>
      <c r="K30" s="55">
        <f t="shared" si="24"/>
        <v>10.344457906157198</v>
      </c>
      <c r="L30" s="55">
        <f t="shared" si="25"/>
        <v>4.2419886164813603</v>
      </c>
      <c r="M30" s="55">
        <f t="shared" ca="1" si="11"/>
        <v>9.9907626247139696</v>
      </c>
      <c r="N30" s="55">
        <v>10.580388629591132</v>
      </c>
      <c r="O30" s="55">
        <v>9.8310071337302105</v>
      </c>
      <c r="P30" s="55">
        <v>10.148348218181173</v>
      </c>
      <c r="Q30" s="55">
        <v>10.577765342065856</v>
      </c>
      <c r="R30" s="55">
        <v>10.308302026750354</v>
      </c>
      <c r="S30" s="55">
        <v>9.9185699970425318</v>
      </c>
      <c r="T30" s="55">
        <v>10.455317249128864</v>
      </c>
      <c r="U30" s="55">
        <v>10.368549629024185</v>
      </c>
      <c r="V30" s="55">
        <v>10.446123701489805</v>
      </c>
      <c r="W30" s="55">
        <v>10.318457890036932</v>
      </c>
      <c r="X30" s="55">
        <f t="shared" ca="1" si="12"/>
        <v>10.267599312886823</v>
      </c>
      <c r="Y30" s="55">
        <f t="shared" ca="1" si="13"/>
        <v>4.2108224159884768</v>
      </c>
      <c r="Z30" s="55">
        <v>4.4601714820357241</v>
      </c>
      <c r="AA30" s="55">
        <v>4.0429924093165397</v>
      </c>
      <c r="AB30" s="55">
        <v>4.1658649564238859</v>
      </c>
      <c r="AC30" s="55">
        <v>4.173148384010501</v>
      </c>
      <c r="AD30" s="55">
        <v>4.3664282719969325</v>
      </c>
      <c r="AE30" s="55">
        <v>4.1727578758180712</v>
      </c>
      <c r="AF30" s="55">
        <v>4.1905179181185463</v>
      </c>
      <c r="AG30" s="55">
        <v>4.2484877908135319</v>
      </c>
      <c r="AH30" s="55">
        <v>4.0056216518525529</v>
      </c>
      <c r="AI30" s="55">
        <v>4.2351755912694227</v>
      </c>
      <c r="AJ30" s="55">
        <f t="shared" ca="1" si="14"/>
        <v>4.2065444316040166</v>
      </c>
      <c r="AK30" s="55">
        <f t="shared" ca="1" si="15"/>
        <v>3.4740676889942795E-5</v>
      </c>
      <c r="AL30" s="55">
        <f t="shared" ca="1" si="23"/>
        <v>3.567033501643998E-4</v>
      </c>
      <c r="AM30" s="55">
        <f t="shared" ca="1" si="23"/>
        <v>1.8312435365262102E-3</v>
      </c>
      <c r="AN30" s="55">
        <f t="shared" ca="1" si="23"/>
        <v>6.267491625788317E-3</v>
      </c>
      <c r="AO30" s="55">
        <f t="shared" ca="1" si="23"/>
        <v>1.6088023177617004E-2</v>
      </c>
      <c r="AP30" s="55">
        <f t="shared" ca="1" si="23"/>
        <v>3.3037075144841527E-2</v>
      </c>
      <c r="AQ30" s="55">
        <f t="shared" ca="1" si="16"/>
        <v>0.16351858561987892</v>
      </c>
      <c r="AR30" s="55">
        <f t="shared" ca="1" si="16"/>
        <v>0.19436212820118359</v>
      </c>
      <c r="AS30" s="55">
        <f t="shared" ca="1" si="16"/>
        <v>0.18481880447136559</v>
      </c>
      <c r="AT30" s="55">
        <f t="shared" ca="1" si="16"/>
        <v>0.1318080487272244</v>
      </c>
      <c r="AU30" s="55">
        <f t="shared" ca="1" si="16"/>
        <v>6.2668088199398411E-2</v>
      </c>
      <c r="AV30" s="55">
        <f t="shared" ca="1" si="16"/>
        <v>1.4897759721392545E-2</v>
      </c>
      <c r="AW30" s="55">
        <f t="shared" ca="1" si="17"/>
        <v>3.3037075144841527E-2</v>
      </c>
      <c r="AX30" s="55">
        <f t="shared" ca="1" si="18"/>
        <v>0.19436212820118359</v>
      </c>
      <c r="AY30" s="54">
        <f t="shared" ca="1" si="3"/>
        <v>5</v>
      </c>
      <c r="AZ30" s="54">
        <f t="shared" ca="1" si="4"/>
        <v>4</v>
      </c>
      <c r="BA30" s="54" t="str">
        <f t="shared" si="5"/>
        <v>HyderabadNorthEast United</v>
      </c>
      <c r="BB30" s="54">
        <f t="shared" si="19"/>
        <v>3</v>
      </c>
      <c r="BC30" s="54">
        <f t="shared" si="20"/>
        <v>0</v>
      </c>
      <c r="BD30" s="54">
        <f t="shared" si="21"/>
        <v>4</v>
      </c>
      <c r="BE30" s="54" t="str">
        <f t="shared" si="6"/>
        <v>HW</v>
      </c>
      <c r="BF30" s="55" t="str">
        <f t="shared" si="7"/>
        <v>AL</v>
      </c>
      <c r="BG30" s="86">
        <f t="shared" ca="1" si="8"/>
        <v>2.7245516617541717E-2</v>
      </c>
      <c r="BH30" s="86">
        <f t="shared" ca="1" si="9"/>
        <v>9.9516726459260955E-3</v>
      </c>
      <c r="BI30" s="87">
        <f t="shared" ca="1" si="22"/>
        <v>0.96280281073653218</v>
      </c>
    </row>
    <row r="31" spans="1:61" x14ac:dyDescent="0.2">
      <c r="A31" s="52">
        <f>'ISL 8'!B32</f>
        <v>44544</v>
      </c>
      <c r="B31" s="54">
        <f>'ISL 8'!C32</f>
        <v>29</v>
      </c>
      <c r="C31" s="54" t="str">
        <f>'ISL 8'!D32</f>
        <v>Odisha</v>
      </c>
      <c r="D31" s="54">
        <f>IF('ISL 8'!E32&lt;&gt;"",'ISL 8'!E32,INDEX($AK$2:$AP$2,,MATCH($AW31,AK31:AP31,0)))</f>
        <v>0</v>
      </c>
      <c r="E31" s="54" t="str">
        <f>'ISL 8'!G32</f>
        <v>Jamshedpur</v>
      </c>
      <c r="F31" s="54">
        <f>IF('ISL 8'!F32&lt;&gt;"",'ISL 8'!F32,INDEX($AQ$2:$AV$2,,MATCH($AX31,AQ31:AV31,0)))</f>
        <v>4</v>
      </c>
      <c r="G31" s="55">
        <f>VLOOKUP($C31,'ISL Total'!$D$5:$AH$15,25,0)</f>
        <v>1.4571180555555554</v>
      </c>
      <c r="H31" s="55">
        <f>VLOOKUP($C31,'ISL Total'!$D$5:$AH$15,28,0)</f>
        <v>1.7565140845070424</v>
      </c>
      <c r="I31" s="55">
        <f>VLOOKUP($E31,'ISL Total'!$D$5:$AH$15,26,0)</f>
        <v>2.1921504637581588</v>
      </c>
      <c r="J31" s="55">
        <f>VLOOKUP(E31,'ISL Total'!$D$5:$AH$15,29,0)</f>
        <v>1.9716600419922359</v>
      </c>
      <c r="K31" s="55">
        <f t="shared" si="24"/>
        <v>4.1135036593985044</v>
      </c>
      <c r="L31" s="55">
        <f t="shared" si="25"/>
        <v>5.1581166200934003</v>
      </c>
      <c r="M31" s="55">
        <f t="shared" ca="1" si="11"/>
        <v>4.1255276240360192</v>
      </c>
      <c r="N31" s="55">
        <v>4.0641307524573405</v>
      </c>
      <c r="O31" s="55">
        <v>4.2963951511430682</v>
      </c>
      <c r="P31" s="55">
        <v>3.7502400251344885</v>
      </c>
      <c r="Q31" s="55">
        <v>3.9179075966661947</v>
      </c>
      <c r="R31" s="55">
        <v>4.127876752191777</v>
      </c>
      <c r="S31" s="55">
        <v>4.1868965858663696</v>
      </c>
      <c r="T31" s="55">
        <v>4.3000010072714492</v>
      </c>
      <c r="U31" s="55">
        <v>3.8339452607645219</v>
      </c>
      <c r="V31" s="55">
        <v>3.9622103611583608</v>
      </c>
      <c r="W31" s="55">
        <v>4.0990196604032469</v>
      </c>
      <c r="X31" s="55">
        <f t="shared" ca="1" si="12"/>
        <v>4.0603773433720765</v>
      </c>
      <c r="Y31" s="55">
        <f t="shared" ca="1" si="13"/>
        <v>5.2368541662752763</v>
      </c>
      <c r="Z31" s="55">
        <v>5.3278373385456437</v>
      </c>
      <c r="AA31" s="55">
        <v>5.6825423688335386</v>
      </c>
      <c r="AB31" s="55">
        <v>5.3727031696687666</v>
      </c>
      <c r="AC31" s="55">
        <v>5.1732908546240743</v>
      </c>
      <c r="AD31" s="55">
        <v>5.4416043574885355</v>
      </c>
      <c r="AE31" s="55">
        <v>5.2923498423375674</v>
      </c>
      <c r="AF31" s="55">
        <v>5.1667182726979775</v>
      </c>
      <c r="AG31" s="55">
        <v>5.2956363529050945</v>
      </c>
      <c r="AH31" s="55">
        <v>5.3007051760431727</v>
      </c>
      <c r="AI31" s="55">
        <v>5.2089897851114442</v>
      </c>
      <c r="AJ31" s="55">
        <f t="shared" ca="1" si="14"/>
        <v>5.3181119713210077</v>
      </c>
      <c r="AK31" s="55">
        <f t="shared" ca="1" si="15"/>
        <v>1.7242511540180673E-2</v>
      </c>
      <c r="AL31" s="55">
        <f t="shared" ca="1" si="23"/>
        <v>7.0011103200581168E-2</v>
      </c>
      <c r="AM31" s="55">
        <f t="shared" ca="1" si="23"/>
        <v>0.14213574861006203</v>
      </c>
      <c r="AN31" s="55">
        <f t="shared" ca="1" si="23"/>
        <v>0.19237492444650833</v>
      </c>
      <c r="AO31" s="55">
        <f t="shared" ca="1" si="23"/>
        <v>0.19527869616387936</v>
      </c>
      <c r="AP31" s="55">
        <f t="shared" ca="1" si="23"/>
        <v>0.15858103870941104</v>
      </c>
      <c r="AQ31" s="55">
        <f t="shared" ca="1" si="16"/>
        <v>0.17377186246330301</v>
      </c>
      <c r="AR31" s="55">
        <f t="shared" ca="1" si="16"/>
        <v>0.16337740104044712</v>
      </c>
      <c r="AS31" s="55">
        <f t="shared" ca="1" si="16"/>
        <v>0.12288376169700276</v>
      </c>
      <c r="AT31" s="55">
        <f t="shared" ca="1" si="16"/>
        <v>6.931995548025971E-2</v>
      </c>
      <c r="AU31" s="55">
        <f t="shared" ca="1" si="16"/>
        <v>2.6069385471416E-2</v>
      </c>
      <c r="AV31" s="55">
        <f t="shared" ca="1" si="16"/>
        <v>4.902000110565634E-3</v>
      </c>
      <c r="AW31" s="55">
        <f t="shared" ca="1" si="17"/>
        <v>0.19527869616387936</v>
      </c>
      <c r="AX31" s="55">
        <f t="shared" ca="1" si="18"/>
        <v>0.17377186246330301</v>
      </c>
      <c r="AY31" s="54">
        <f t="shared" ca="1" si="3"/>
        <v>4</v>
      </c>
      <c r="AZ31" s="54">
        <f t="shared" ca="1" si="4"/>
        <v>5</v>
      </c>
      <c r="BA31" s="54" t="str">
        <f t="shared" si="5"/>
        <v>OdishaJamshedpur</v>
      </c>
      <c r="BB31" s="54">
        <f t="shared" si="19"/>
        <v>0</v>
      </c>
      <c r="BC31" s="54">
        <f t="shared" si="20"/>
        <v>3</v>
      </c>
      <c r="BD31" s="54">
        <f t="shared" si="21"/>
        <v>4</v>
      </c>
      <c r="BE31" s="54" t="str">
        <f t="shared" si="6"/>
        <v>HL</v>
      </c>
      <c r="BF31" s="55" t="str">
        <f t="shared" si="7"/>
        <v>AW</v>
      </c>
      <c r="BG31" s="86">
        <f t="shared" ca="1" si="8"/>
        <v>0.12892011532164716</v>
      </c>
      <c r="BH31" s="86">
        <f t="shared" ca="1" si="9"/>
        <v>9.4863315673779203E-2</v>
      </c>
      <c r="BI31" s="87">
        <f t="shared" ca="1" si="22"/>
        <v>0.7762165690045737</v>
      </c>
    </row>
    <row r="32" spans="1:61" x14ac:dyDescent="0.2">
      <c r="A32" s="52">
        <f>'ISL 8'!B33</f>
        <v>44545</v>
      </c>
      <c r="B32" s="54">
        <f>'ISL 8'!C33</f>
        <v>30</v>
      </c>
      <c r="C32" s="54" t="str">
        <f>'ISL 8'!D33</f>
        <v>Mumbai City</v>
      </c>
      <c r="D32" s="54">
        <f>IF('ISL 8'!E33&lt;&gt;"",'ISL 8'!E33,INDEX($AK$2:$AP$2,,MATCH($AW32,AK32:AP32,0)))</f>
        <v>1</v>
      </c>
      <c r="E32" s="54" t="str">
        <f>'ISL 8'!G33</f>
        <v>Chennaiyin</v>
      </c>
      <c r="F32" s="54">
        <f>IF('ISL 8'!F33&lt;&gt;"",'ISL 8'!F33,INDEX($AQ$2:$AV$2,,MATCH($AX32,AQ32:AV32,0)))</f>
        <v>0</v>
      </c>
      <c r="G32" s="55">
        <f>VLOOKUP($C32,'ISL Total'!$D$5:$AH$15,25,0)</f>
        <v>1.711666848062984</v>
      </c>
      <c r="H32" s="55">
        <f>VLOOKUP($C32,'ISL Total'!$D$5:$AH$15,28,0)</f>
        <v>2.0663350700408412</v>
      </c>
      <c r="I32" s="55">
        <f>VLOOKUP($E32,'ISL Total'!$D$5:$AH$15,26,0)</f>
        <v>1.4832889614107407</v>
      </c>
      <c r="J32" s="55">
        <f>VLOOKUP(E32,'ISL Total'!$D$5:$AH$15,29,0)</f>
        <v>1.6817905576540886</v>
      </c>
      <c r="K32" s="55">
        <f t="shared" si="24"/>
        <v>4.1216988997767432</v>
      </c>
      <c r="L32" s="55">
        <f t="shared" si="25"/>
        <v>4.1057799733454008</v>
      </c>
      <c r="M32" s="55">
        <f t="shared" ca="1" si="11"/>
        <v>4.1337443933203728</v>
      </c>
      <c r="N32" s="55">
        <v>3.9227321019564196</v>
      </c>
      <c r="O32" s="55">
        <v>3.9116237727268306</v>
      </c>
      <c r="P32" s="55">
        <v>4.2924415019091837</v>
      </c>
      <c r="Q32" s="55">
        <v>4.0276963168529232</v>
      </c>
      <c r="R32" s="55">
        <v>3.9429993244007582</v>
      </c>
      <c r="S32" s="55">
        <v>3.8571651129137967</v>
      </c>
      <c r="T32" s="55">
        <v>4.0521580499820642</v>
      </c>
      <c r="U32" s="55">
        <v>3.9644384970424644</v>
      </c>
      <c r="V32" s="55">
        <v>4.358391317863517</v>
      </c>
      <c r="W32" s="55">
        <v>4.2861518295330931</v>
      </c>
      <c r="X32" s="55">
        <f t="shared" ca="1" si="12"/>
        <v>4.0681402016819472</v>
      </c>
      <c r="Y32" s="55">
        <f t="shared" ca="1" si="13"/>
        <v>4.0010871385697735</v>
      </c>
      <c r="Z32" s="55">
        <v>4.0289464082893369</v>
      </c>
      <c r="AA32" s="55">
        <v>3.8856535808916361</v>
      </c>
      <c r="AB32" s="55">
        <v>3.970532522715069</v>
      </c>
      <c r="AC32" s="55">
        <v>4.0450583615313835</v>
      </c>
      <c r="AD32" s="55">
        <v>4.2672863179575184</v>
      </c>
      <c r="AE32" s="55">
        <v>3.9195213544860539</v>
      </c>
      <c r="AF32" s="55">
        <v>3.7246637937040363</v>
      </c>
      <c r="AG32" s="55">
        <v>4.1765307780089991</v>
      </c>
      <c r="AH32" s="55">
        <v>3.5790521750611117</v>
      </c>
      <c r="AI32" s="55">
        <v>4.2253929727642578</v>
      </c>
      <c r="AJ32" s="55">
        <f t="shared" ca="1" si="14"/>
        <v>3.9839750367253801</v>
      </c>
      <c r="AK32" s="55">
        <f t="shared" ca="1" si="15"/>
        <v>1.7109178558286173E-2</v>
      </c>
      <c r="AL32" s="55">
        <f t="shared" ca="1" si="23"/>
        <v>6.9602537110718773E-2</v>
      </c>
      <c r="AM32" s="55">
        <f t="shared" ca="1" si="23"/>
        <v>0.14157643967958733</v>
      </c>
      <c r="AN32" s="55">
        <f t="shared" ca="1" si="23"/>
        <v>0.19198426862384285</v>
      </c>
      <c r="AO32" s="55">
        <f t="shared" ca="1" si="23"/>
        <v>0.19525473031979029</v>
      </c>
      <c r="AP32" s="55">
        <f t="shared" ca="1" si="23"/>
        <v>0.1588647235965012</v>
      </c>
      <c r="AQ32" s="55">
        <f t="shared" ca="1" si="16"/>
        <v>0.15566229242888491</v>
      </c>
      <c r="AR32" s="55">
        <f t="shared" ca="1" si="16"/>
        <v>0.19536052685313918</v>
      </c>
      <c r="AS32" s="55">
        <f t="shared" ca="1" si="16"/>
        <v>0.19614633631210232</v>
      </c>
      <c r="AT32" s="55">
        <f t="shared" ca="1" si="16"/>
        <v>0.14770147993195593</v>
      </c>
      <c r="AU32" s="55">
        <f t="shared" ca="1" si="16"/>
        <v>7.4147793884451044E-2</v>
      </c>
      <c r="AV32" s="55">
        <f t="shared" ca="1" si="16"/>
        <v>1.8611510664835053E-2</v>
      </c>
      <c r="AW32" s="55">
        <f t="shared" ca="1" si="17"/>
        <v>0.19525473031979029</v>
      </c>
      <c r="AX32" s="55">
        <f t="shared" ca="1" si="18"/>
        <v>0.19614633631210232</v>
      </c>
      <c r="AY32" s="54">
        <f t="shared" ca="1" si="3"/>
        <v>4</v>
      </c>
      <c r="AZ32" s="54">
        <f t="shared" ca="1" si="4"/>
        <v>3</v>
      </c>
      <c r="BA32" s="54" t="str">
        <f t="shared" si="5"/>
        <v>Mumbai CityChennaiyin</v>
      </c>
      <c r="BB32" s="54">
        <f t="shared" si="19"/>
        <v>3</v>
      </c>
      <c r="BC32" s="54">
        <f t="shared" si="20"/>
        <v>0</v>
      </c>
      <c r="BD32" s="54">
        <f t="shared" si="21"/>
        <v>1</v>
      </c>
      <c r="BE32" s="54" t="str">
        <f t="shared" si="6"/>
        <v>HW</v>
      </c>
      <c r="BF32" s="55" t="str">
        <f t="shared" si="7"/>
        <v>AL</v>
      </c>
      <c r="BG32" s="86">
        <f t="shared" ca="1" si="8"/>
        <v>0.24623959957981917</v>
      </c>
      <c r="BH32" s="86">
        <f t="shared" ca="1" si="9"/>
        <v>0.12692167686597652</v>
      </c>
      <c r="BI32" s="87">
        <f t="shared" ca="1" si="22"/>
        <v>0.62683872355420434</v>
      </c>
    </row>
    <row r="33" spans="1:61" x14ac:dyDescent="0.2">
      <c r="A33" s="52">
        <f>'ISL 8'!B34</f>
        <v>44546</v>
      </c>
      <c r="B33" s="54">
        <f>'ISL 8'!C34</f>
        <v>31</v>
      </c>
      <c r="C33" s="54" t="str">
        <f>'ISL 8'!D34</f>
        <v>Bengaluru</v>
      </c>
      <c r="D33" s="54">
        <f>IF('ISL 8'!E34&lt;&gt;"",'ISL 8'!E34,INDEX($AK$2:$AP$2,,MATCH($AW33,AK33:AP33,0)))</f>
        <v>3</v>
      </c>
      <c r="E33" s="54" t="str">
        <f>'ISL 8'!G34</f>
        <v>ATK-MB</v>
      </c>
      <c r="F33" s="54">
        <f>IF('ISL 8'!F34&lt;&gt;"",'ISL 8'!F34,INDEX($AQ$2:$AV$2,,MATCH($AX33,AQ33:AV33,0)))</f>
        <v>3</v>
      </c>
      <c r="G33" s="55">
        <f>VLOOKUP($C33,'ISL Total'!$D$5:$AH$15,25,0)</f>
        <v>2.2973875558619734</v>
      </c>
      <c r="H33" s="55">
        <f>VLOOKUP($C33,'ISL Total'!$D$5:$AH$15,28,0)</f>
        <v>1.7201477155616627</v>
      </c>
      <c r="I33" s="55">
        <f>VLOOKUP($E33,'ISL Total'!$D$5:$AH$15,26,0)</f>
        <v>2.3848410244665827</v>
      </c>
      <c r="J33" s="55">
        <f>VLOOKUP(E33,'ISL Total'!$D$5:$AH$15,29,0)</f>
        <v>1.8807593937667644</v>
      </c>
      <c r="K33" s="55">
        <f t="shared" ref="K33:K92" si="26">($K$2*G33*J33)</f>
        <v>6.186608262114949</v>
      </c>
      <c r="L33" s="55">
        <f t="shared" ref="L33:L92" si="27">$L$2*H33*I33</f>
        <v>5.4953370886936996</v>
      </c>
      <c r="M33" s="55">
        <f t="shared" ca="1" si="11"/>
        <v>6.4507827390174972</v>
      </c>
      <c r="N33" s="55">
        <v>6.2222048553694362</v>
      </c>
      <c r="O33" s="55">
        <v>5.7593720949414404</v>
      </c>
      <c r="P33" s="55">
        <v>6.1710992780325951</v>
      </c>
      <c r="Q33" s="55">
        <v>6.7615103963402214</v>
      </c>
      <c r="R33" s="55">
        <v>6.5359698310539081</v>
      </c>
      <c r="S33" s="55">
        <v>6.2789633695266343</v>
      </c>
      <c r="T33" s="55">
        <v>6.2581682579619038</v>
      </c>
      <c r="U33" s="55">
        <v>6.6621231576365396</v>
      </c>
      <c r="V33" s="55">
        <v>5.556869533374635</v>
      </c>
      <c r="W33" s="55">
        <v>6.4111861117364031</v>
      </c>
      <c r="X33" s="55">
        <f t="shared" ref="X33:X92" ca="1" si="28">AVERAGE(M33:W33)</f>
        <v>6.2789317840901102</v>
      </c>
      <c r="Y33" s="55">
        <f t="shared" ca="1" si="13"/>
        <v>4.9585764590771131</v>
      </c>
      <c r="Z33" s="55">
        <v>5.1962599191941203</v>
      </c>
      <c r="AA33" s="55">
        <v>5.7363492847942616</v>
      </c>
      <c r="AB33" s="55">
        <v>5.2199113608599301</v>
      </c>
      <c r="AC33" s="55">
        <v>4.9972502811821169</v>
      </c>
      <c r="AD33" s="55">
        <v>5.2410484093385366</v>
      </c>
      <c r="AE33" s="55">
        <v>5.6418679244707821</v>
      </c>
      <c r="AF33" s="55">
        <v>5.7120161058820207</v>
      </c>
      <c r="AG33" s="55">
        <v>5.524783378038741</v>
      </c>
      <c r="AH33" s="55">
        <v>5.5203916417003152</v>
      </c>
      <c r="AI33" s="55">
        <v>5.7770725674148808</v>
      </c>
      <c r="AJ33" s="55">
        <f t="shared" ref="AJ33:AJ92" ca="1" si="29">AVERAGE(Y33:AI33)</f>
        <v>5.4114115756320746</v>
      </c>
      <c r="AK33" s="55">
        <f t="shared" ref="AK33:AP60" ca="1" si="30">_xlfn.POISSON.DIST(AK$2,$X33,0)</f>
        <v>1.8754028597783342E-3</v>
      </c>
      <c r="AL33" s="55">
        <f t="shared" ca="1" si="23"/>
        <v>1.1775526624235672E-2</v>
      </c>
      <c r="AM33" s="55">
        <f t="shared" ca="1" si="23"/>
        <v>3.6968864197656347E-2</v>
      </c>
      <c r="AN33" s="55">
        <f t="shared" ca="1" si="23"/>
        <v>7.7374992144125104E-2</v>
      </c>
      <c r="AO33" s="55">
        <f t="shared" ca="1" si="23"/>
        <v>0.12145807436686748</v>
      </c>
      <c r="AP33" s="55">
        <f t="shared" ca="1" si="23"/>
        <v>0.15252539271530083</v>
      </c>
      <c r="AQ33" s="55">
        <f t="shared" ca="1" si="16"/>
        <v>0.17267338347044067</v>
      </c>
      <c r="AR33" s="55">
        <f t="shared" ca="1" si="16"/>
        <v>0.15954560197195103</v>
      </c>
      <c r="AS33" s="55">
        <f t="shared" ca="1" si="16"/>
        <v>0.11793270553686573</v>
      </c>
      <c r="AT33" s="55">
        <f t="shared" ca="1" si="16"/>
        <v>6.5380005136510461E-2</v>
      </c>
      <c r="AU33" s="55">
        <f t="shared" ca="1" si="16"/>
        <v>2.4163752552447022E-2</v>
      </c>
      <c r="AV33" s="55">
        <f t="shared" ca="1" si="16"/>
        <v>4.4653326058690336E-3</v>
      </c>
      <c r="AW33" s="55">
        <f t="shared" ref="AW33:AW92" ca="1" si="31">MAX(AK33:AP33)</f>
        <v>0.15252539271530083</v>
      </c>
      <c r="AX33" s="55">
        <f t="shared" ref="AX33:AX92" ca="1" si="32">MAX(AQ33:AV33)</f>
        <v>0.17267338347044067</v>
      </c>
      <c r="AY33" s="54">
        <f t="shared" ca="1" si="3"/>
        <v>5</v>
      </c>
      <c r="AZ33" s="54">
        <f t="shared" ca="1" si="4"/>
        <v>5</v>
      </c>
      <c r="BA33" s="54" t="str">
        <f t="shared" si="5"/>
        <v>BengaluruATK-MB</v>
      </c>
      <c r="BB33" s="54">
        <f t="shared" si="19"/>
        <v>1</v>
      </c>
      <c r="BC33" s="54">
        <f t="shared" si="20"/>
        <v>1</v>
      </c>
      <c r="BD33" s="54">
        <f t="shared" si="21"/>
        <v>0</v>
      </c>
      <c r="BE33" s="54" t="str">
        <f t="shared" si="6"/>
        <v>HD</v>
      </c>
      <c r="BF33" s="55" t="str">
        <f t="shared" si="7"/>
        <v>AD</v>
      </c>
      <c r="BG33" s="86">
        <f t="shared" ca="1" si="8"/>
        <v>9.0788222665704951E-2</v>
      </c>
      <c r="BH33" s="86">
        <f t="shared" ca="1" si="9"/>
        <v>5.7550159119170385E-2</v>
      </c>
      <c r="BI33" s="87">
        <f t="shared" ca="1" si="22"/>
        <v>0.85166161821512465</v>
      </c>
    </row>
    <row r="34" spans="1:61" x14ac:dyDescent="0.2">
      <c r="A34" s="52">
        <f>'ISL 8'!B35</f>
        <v>44547</v>
      </c>
      <c r="B34" s="54">
        <f>'ISL 8'!C35</f>
        <v>32</v>
      </c>
      <c r="C34" s="54" t="str">
        <f>'ISL 8'!D35</f>
        <v>NorthEast United</v>
      </c>
      <c r="D34" s="54">
        <f>IF('ISL 8'!E35&lt;&gt;"",'ISL 8'!E35,INDEX($AK$2:$AP$2,,MATCH($AW34,AK34:AP34,0)))</f>
        <v>2</v>
      </c>
      <c r="E34" s="54" t="str">
        <f>'ISL 8'!G35</f>
        <v>East Bengal</v>
      </c>
      <c r="F34" s="54">
        <f>IF('ISL 8'!F35&lt;&gt;"",'ISL 8'!F35,INDEX($AQ$2:$AV$2,,MATCH($AX34,AQ34:AV34,0)))</f>
        <v>0</v>
      </c>
      <c r="G34" s="55">
        <f>VLOOKUP($C34,'ISL Total'!$D$5:$AH$15,25,0)</f>
        <v>1.9869978963421873</v>
      </c>
      <c r="H34" s="55">
        <f>VLOOKUP($C34,'ISL Total'!$D$5:$AH$15,28,0)</f>
        <v>2.4341100805374252</v>
      </c>
      <c r="I34" s="55">
        <f>VLOOKUP($E34,'ISL Total'!$D$5:$AH$15,26,0)</f>
        <v>2.2664839306843771</v>
      </c>
      <c r="J34" s="55">
        <f>VLOOKUP(E34,'ISL Total'!$D$5:$AH$15,29,0)</f>
        <v>2.3205343227457229</v>
      </c>
      <c r="K34" s="55">
        <f t="shared" si="26"/>
        <v>6.6019239463013362</v>
      </c>
      <c r="L34" s="55">
        <f t="shared" si="27"/>
        <v>7.3902991741228563</v>
      </c>
      <c r="M34" s="55">
        <f t="shared" ca="1" si="11"/>
        <v>6.6703298629482362</v>
      </c>
      <c r="N34" s="55">
        <v>6.9859733379837383</v>
      </c>
      <c r="O34" s="55">
        <v>6.3494369044130075</v>
      </c>
      <c r="P34" s="55">
        <v>6.5813853764629062</v>
      </c>
      <c r="Q34" s="55">
        <v>6.1173627650190605</v>
      </c>
      <c r="R34" s="55">
        <v>6.5568389061082124</v>
      </c>
      <c r="S34" s="55">
        <v>7.1427381746457126</v>
      </c>
      <c r="T34" s="55">
        <v>5.8849473201598759</v>
      </c>
      <c r="U34" s="55">
        <v>6.6461895149464425</v>
      </c>
      <c r="V34" s="55">
        <v>6.553759150513323</v>
      </c>
      <c r="W34" s="55">
        <v>6.9898999127913433</v>
      </c>
      <c r="X34" s="55">
        <f t="shared" ca="1" si="28"/>
        <v>6.5889873841810784</v>
      </c>
      <c r="Y34" s="55">
        <f t="shared" ca="1" si="13"/>
        <v>7.6049489261978485</v>
      </c>
      <c r="Z34" s="55">
        <v>7.1447443586848474</v>
      </c>
      <c r="AA34" s="55">
        <v>7.0789857634203273</v>
      </c>
      <c r="AB34" s="55">
        <v>7.1526051063611611</v>
      </c>
      <c r="AC34" s="55">
        <v>6.8608286496929374</v>
      </c>
      <c r="AD34" s="55">
        <v>7.6242708937906984</v>
      </c>
      <c r="AE34" s="55">
        <v>7.5837386628851515</v>
      </c>
      <c r="AF34" s="55">
        <v>7.5153874917001264</v>
      </c>
      <c r="AG34" s="55">
        <v>7.1811133403038747</v>
      </c>
      <c r="AH34" s="55">
        <v>7.6533697211103142</v>
      </c>
      <c r="AI34" s="55">
        <v>7.2761166236167378</v>
      </c>
      <c r="AJ34" s="55">
        <f t="shared" ca="1" si="29"/>
        <v>7.3341917761603668</v>
      </c>
      <c r="AK34" s="55">
        <f t="shared" ca="1" si="30"/>
        <v>1.3754320429260154E-3</v>
      </c>
      <c r="AL34" s="55">
        <f t="shared" ca="1" si="23"/>
        <v>9.0627043786379227E-3</v>
      </c>
      <c r="AM34" s="55">
        <f t="shared" ca="1" si="23"/>
        <v>2.985702240870395E-2</v>
      </c>
      <c r="AN34" s="55">
        <f t="shared" ca="1" si="23"/>
        <v>6.5575847993387379E-2</v>
      </c>
      <c r="AO34" s="55">
        <f t="shared" ca="1" si="23"/>
        <v>0.10801960878385138</v>
      </c>
      <c r="AP34" s="55">
        <f t="shared" ca="1" si="23"/>
        <v>0.14234796790419441</v>
      </c>
      <c r="AQ34" s="55">
        <f t="shared" ca="1" si="16"/>
        <v>0.11544657295947906</v>
      </c>
      <c r="AR34" s="55">
        <f t="shared" ca="1" si="16"/>
        <v>7.8704359309730382E-2</v>
      </c>
      <c r="AS34" s="55">
        <f t="shared" ca="1" si="16"/>
        <v>4.2924625759341202E-2</v>
      </c>
      <c r="AT34" s="55">
        <f t="shared" ca="1" si="16"/>
        <v>1.7558018825823491E-2</v>
      </c>
      <c r="AU34" s="55">
        <f t="shared" ca="1" si="16"/>
        <v>4.7879901048934817E-3</v>
      </c>
      <c r="AV34" s="55">
        <f t="shared" ca="1" si="16"/>
        <v>6.5283132089029099E-4</v>
      </c>
      <c r="AW34" s="55">
        <f t="shared" ca="1" si="31"/>
        <v>0.14234796790419441</v>
      </c>
      <c r="AX34" s="55">
        <f t="shared" ca="1" si="32"/>
        <v>0.11544657295947906</v>
      </c>
      <c r="AY34" s="54">
        <f t="shared" ca="1" si="3"/>
        <v>5</v>
      </c>
      <c r="AZ34" s="54">
        <f t="shared" ca="1" si="4"/>
        <v>5</v>
      </c>
      <c r="BA34" s="54" t="str">
        <f t="shared" si="5"/>
        <v>NorthEast UnitedEast Bengal</v>
      </c>
      <c r="BB34" s="54">
        <f t="shared" si="19"/>
        <v>3</v>
      </c>
      <c r="BC34" s="54">
        <f t="shared" si="20"/>
        <v>0</v>
      </c>
      <c r="BD34" s="54">
        <f t="shared" si="21"/>
        <v>2</v>
      </c>
      <c r="BE34" s="54" t="str">
        <f t="shared" si="6"/>
        <v>HW</v>
      </c>
      <c r="BF34" s="55" t="str">
        <f t="shared" si="7"/>
        <v>AL</v>
      </c>
      <c r="BG34" s="86">
        <f t="shared" ca="1" si="8"/>
        <v>2.9385035641844928E-2</v>
      </c>
      <c r="BH34" s="86">
        <f t="shared" ca="1" si="9"/>
        <v>2.8318538124014438E-2</v>
      </c>
      <c r="BI34" s="87">
        <f t="shared" ca="1" si="22"/>
        <v>0.94229642623414067</v>
      </c>
    </row>
    <row r="35" spans="1:61" x14ac:dyDescent="0.2">
      <c r="A35" s="52">
        <f>'ISL 8'!B36</f>
        <v>44548</v>
      </c>
      <c r="B35" s="54">
        <f>'ISL 8'!C36</f>
        <v>33</v>
      </c>
      <c r="C35" s="54" t="str">
        <f>'ISL 8'!D36</f>
        <v>Chennaiyin</v>
      </c>
      <c r="D35" s="54">
        <f>IF('ISL 8'!E36&lt;&gt;"",'ISL 8'!E36,INDEX($AK$2:$AP$2,,MATCH($AW35,AK35:AP35,0)))</f>
        <v>2</v>
      </c>
      <c r="E35" s="54" t="str">
        <f>'ISL 8'!G36</f>
        <v>Odisha</v>
      </c>
      <c r="F35" s="54">
        <f>IF('ISL 8'!F36&lt;&gt;"",'ISL 8'!F36,INDEX($AQ$2:$AV$2,,MATCH($AX35,AQ35:AV35,0)))</f>
        <v>1</v>
      </c>
      <c r="G35" s="55">
        <f>VLOOKUP($C35,'ISL Total'!$D$5:$AH$15,25,0)</f>
        <v>1.6923160070404248</v>
      </c>
      <c r="H35" s="55">
        <f>VLOOKUP($C35,'ISL Total'!$D$5:$AH$15,28,0)</f>
        <v>2.1914366960571012</v>
      </c>
      <c r="I35" s="55">
        <f>VLOOKUP($E35,'ISL Total'!$D$5:$AH$15,26,0)</f>
        <v>0.79788732394366213</v>
      </c>
      <c r="J35" s="55">
        <f>VLOOKUP(E35,'ISL Total'!$D$5:$AH$15,29,0)</f>
        <v>1.3928240740740743</v>
      </c>
      <c r="K35" s="55">
        <f t="shared" si="26"/>
        <v>3.3749150078170285</v>
      </c>
      <c r="L35" s="55">
        <f t="shared" si="27"/>
        <v>2.3422845613824195</v>
      </c>
      <c r="M35" s="55">
        <f t="shared" ca="1" si="11"/>
        <v>3.5221106458558329</v>
      </c>
      <c r="N35" s="55">
        <v>2.6518468283235892</v>
      </c>
      <c r="O35" s="55">
        <v>3.229289690054562</v>
      </c>
      <c r="P35" s="55">
        <v>3.1414462643831533</v>
      </c>
      <c r="Q35" s="55">
        <v>3.3247171378010547</v>
      </c>
      <c r="R35" s="55">
        <v>3.1625338187416854</v>
      </c>
      <c r="S35" s="55">
        <v>3.5455802568285559</v>
      </c>
      <c r="T35" s="55">
        <v>3.1774383963383031</v>
      </c>
      <c r="U35" s="55">
        <v>4.0666725653370532</v>
      </c>
      <c r="V35" s="55">
        <v>3.2954498706199651</v>
      </c>
      <c r="W35" s="55">
        <v>3.5859319322566421</v>
      </c>
      <c r="X35" s="55">
        <f t="shared" ca="1" si="28"/>
        <v>3.3366379460491271</v>
      </c>
      <c r="Y35" s="55">
        <f t="shared" ca="1" si="13"/>
        <v>2.5233054982463861</v>
      </c>
      <c r="Z35" s="55">
        <v>2.2143515776162648</v>
      </c>
      <c r="AA35" s="55">
        <v>2.828353017235897</v>
      </c>
      <c r="AB35" s="55">
        <v>2.4601590605340307</v>
      </c>
      <c r="AC35" s="55">
        <v>2.2729358641299036</v>
      </c>
      <c r="AD35" s="55">
        <v>2.1861051465592913</v>
      </c>
      <c r="AE35" s="55">
        <v>2.0284910929343782</v>
      </c>
      <c r="AF35" s="55">
        <v>2.3974288855412755</v>
      </c>
      <c r="AG35" s="55">
        <v>2.4903886754306894</v>
      </c>
      <c r="AH35" s="55">
        <v>1.8399028980846808</v>
      </c>
      <c r="AI35" s="55">
        <v>2.4598158985328724</v>
      </c>
      <c r="AJ35" s="55">
        <f t="shared" ca="1" si="29"/>
        <v>2.3364761468041517</v>
      </c>
      <c r="AK35" s="55">
        <f t="shared" ca="1" si="30"/>
        <v>3.5556299189125909E-2</v>
      </c>
      <c r="AL35" s="55">
        <f t="shared" ca="1" si="23"/>
        <v>0.11863849709551332</v>
      </c>
      <c r="AM35" s="55">
        <f t="shared" ca="1" si="23"/>
        <v>0.19792685563556447</v>
      </c>
      <c r="AN35" s="55">
        <f t="shared" ca="1" si="23"/>
        <v>0.22013675235193733</v>
      </c>
      <c r="AO35" s="55">
        <f t="shared" ca="1" si="23"/>
        <v>0.18362916030437337</v>
      </c>
      <c r="AP35" s="55">
        <f t="shared" ca="1" si="23"/>
        <v>0.12254080485454201</v>
      </c>
      <c r="AQ35" s="55">
        <f t="shared" ca="1" si="16"/>
        <v>5.6092760632116698E-2</v>
      </c>
      <c r="AR35" s="55">
        <f t="shared" ca="1" si="16"/>
        <v>0.12003709241551806</v>
      </c>
      <c r="AS35" s="55">
        <f t="shared" ca="1" si="16"/>
        <v>0.20550107918663005</v>
      </c>
      <c r="AT35" s="55">
        <f t="shared" ca="1" si="16"/>
        <v>0.26386027454341771</v>
      </c>
      <c r="AU35" s="55">
        <f t="shared" ca="1" si="16"/>
        <v>0.22586173191138936</v>
      </c>
      <c r="AV35" s="55">
        <f t="shared" ca="1" si="16"/>
        <v>9.6667681465665553E-2</v>
      </c>
      <c r="AW35" s="55">
        <f t="shared" ca="1" si="31"/>
        <v>0.22013675235193733</v>
      </c>
      <c r="AX35" s="55">
        <f t="shared" ca="1" si="32"/>
        <v>0.26386027454341771</v>
      </c>
      <c r="AY35" s="54">
        <f t="shared" ref="AY35:AY66" ca="1" si="33">INDEX($AK$2:$AP$2,,MATCH($AW35,AK35:AP35,0))</f>
        <v>3</v>
      </c>
      <c r="AZ35" s="54">
        <f t="shared" ref="AZ35:AZ66" ca="1" si="34">INDEX($AQ$2:$AV$2,,MATCH($AX35,AQ35:AV35,0))</f>
        <v>2</v>
      </c>
      <c r="BA35" s="54" t="str">
        <f t="shared" ref="BA35:BA66" si="35">C35&amp;E35</f>
        <v>ChennaiyinOdisha</v>
      </c>
      <c r="BB35" s="54">
        <f t="shared" si="19"/>
        <v>3</v>
      </c>
      <c r="BC35" s="54">
        <f t="shared" si="20"/>
        <v>0</v>
      </c>
      <c r="BD35" s="54">
        <f t="shared" si="21"/>
        <v>1</v>
      </c>
      <c r="BE35" s="54" t="str">
        <f t="shared" ref="BE35:BE66" si="36">IF(D35&gt;F35,"HW",IF(D35=F35,"HD","HL"))</f>
        <v>HW</v>
      </c>
      <c r="BF35" s="55" t="str">
        <f t="shared" ref="BF35:BF66" si="37">IF(F35&gt;D35,"AW",IF(F35=D35,"AD","AL"))</f>
        <v>AL</v>
      </c>
      <c r="BG35" s="86">
        <f t="shared" ref="BG35:BG66" ca="1" si="38">(SUM(AL35:AP35)*AV35)+(SUM(AM35:AP35)*AU35)+(SUM(AN35:AP35)*AT35)+(SUM(AO35:AP35)*AS35)+(SUM(AP35)*AR35)</f>
        <v>0.46155427308982189</v>
      </c>
      <c r="BH35" s="86">
        <f t="shared" ref="BH35:BH66" ca="1" si="39">(AK35*AV35)+(AL35*AU35)+(AM35*AT35)+(AN35*AS35)+(AO35*AR35)+(AP35*AQ35)</f>
        <v>0.1566123785939606</v>
      </c>
      <c r="BI35" s="87">
        <f t="shared" ca="1" si="22"/>
        <v>0.38183334831621751</v>
      </c>
    </row>
    <row r="36" spans="1:61" x14ac:dyDescent="0.2">
      <c r="A36" s="52">
        <f>'ISL 8'!B37</f>
        <v>44548</v>
      </c>
      <c r="B36" s="54">
        <f>'ISL 8'!C37</f>
        <v>34</v>
      </c>
      <c r="C36" s="54" t="str">
        <f>'ISL 8'!D37</f>
        <v>Goa</v>
      </c>
      <c r="D36" s="54">
        <f>IF('ISL 8'!E37&lt;&gt;"",'ISL 8'!E37,INDEX($AK$2:$AP$2,,MATCH($AW36,AK36:AP36,0)))</f>
        <v>1</v>
      </c>
      <c r="E36" s="54" t="str">
        <f>'ISL 8'!G37</f>
        <v>Hyderabad</v>
      </c>
      <c r="F36" s="54">
        <f>IF('ISL 8'!F37&lt;&gt;"",'ISL 8'!F37,INDEX($AQ$2:$AV$2,,MATCH($AX36,AQ36:AV36,0)))</f>
        <v>1</v>
      </c>
      <c r="G36" s="55">
        <f>VLOOKUP($C36,'ISL Total'!$D$5:$AH$15,25,0)</f>
        <v>1.7934931050517995</v>
      </c>
      <c r="H36" s="55">
        <f>VLOOKUP($C36,'ISL Total'!$D$5:$AH$15,28,0)</f>
        <v>2.0847265162792477</v>
      </c>
      <c r="I36" s="55">
        <f>VLOOKUP($E36,'ISL Total'!$D$5:$AH$15,26,0)</f>
        <v>2.2018340394671556</v>
      </c>
      <c r="J36" s="55">
        <f>VLOOKUP(E36,'ISL Total'!$D$5:$AH$15,29,0)</f>
        <v>1.4450563501928062</v>
      </c>
      <c r="K36" s="55">
        <f t="shared" si="26"/>
        <v>3.7108175976722215</v>
      </c>
      <c r="L36" s="55">
        <f t="shared" si="27"/>
        <v>6.1489764887370129</v>
      </c>
      <c r="M36" s="55">
        <f t="shared" ca="1" si="11"/>
        <v>4.0194071289527207</v>
      </c>
      <c r="N36" s="55">
        <v>4.0011094943701409</v>
      </c>
      <c r="O36" s="55">
        <v>3.773114254630539</v>
      </c>
      <c r="P36" s="55">
        <v>3.7611065936280395</v>
      </c>
      <c r="Q36" s="55">
        <v>3.3588740294767629</v>
      </c>
      <c r="R36" s="55">
        <v>3.3125041795823624</v>
      </c>
      <c r="S36" s="55">
        <v>3.4922340760319384</v>
      </c>
      <c r="T36" s="55">
        <v>3.2022653375202026</v>
      </c>
      <c r="U36" s="55">
        <v>3.4002889281565203</v>
      </c>
      <c r="V36" s="55">
        <v>3.7088745694518082</v>
      </c>
      <c r="W36" s="55">
        <v>3.8127323026663937</v>
      </c>
      <c r="X36" s="55">
        <f t="shared" ca="1" si="28"/>
        <v>3.6220464449515841</v>
      </c>
      <c r="Y36" s="55">
        <f t="shared" ca="1" si="13"/>
        <v>6.3032832774191432</v>
      </c>
      <c r="Z36" s="55">
        <v>6.1333491925146033</v>
      </c>
      <c r="AA36" s="55">
        <v>6.1802723319902011</v>
      </c>
      <c r="AB36" s="55">
        <v>6.2177306872703788</v>
      </c>
      <c r="AC36" s="55">
        <v>6.2126294861821192</v>
      </c>
      <c r="AD36" s="55">
        <v>5.946836111082848</v>
      </c>
      <c r="AE36" s="55">
        <v>5.8250210691410151</v>
      </c>
      <c r="AF36" s="55">
        <v>6.3235792602560501</v>
      </c>
      <c r="AG36" s="55">
        <v>6.0679203016732588</v>
      </c>
      <c r="AH36" s="55">
        <v>5.7406558325598214</v>
      </c>
      <c r="AI36" s="55">
        <v>6.2785635126328359</v>
      </c>
      <c r="AJ36" s="55">
        <f t="shared" ca="1" si="29"/>
        <v>6.111803732974753</v>
      </c>
      <c r="AK36" s="55">
        <f t="shared" ca="1" si="30"/>
        <v>2.6727923263383292E-2</v>
      </c>
      <c r="AL36" s="55">
        <f t="shared" ca="1" si="23"/>
        <v>9.6809779437076193E-2</v>
      </c>
      <c r="AM36" s="55">
        <f t="shared" ca="1" si="23"/>
        <v>0.17532475872330441</v>
      </c>
      <c r="AN36" s="55">
        <f t="shared" ca="1" si="23"/>
        <v>0.21167813968191299</v>
      </c>
      <c r="AO36" s="55">
        <f t="shared" ca="1" si="23"/>
        <v>0.19167701332720946</v>
      </c>
      <c r="AP36" s="55">
        <f t="shared" ca="1" si="23"/>
        <v>0.13885260894015128</v>
      </c>
      <c r="AQ36" s="55">
        <f t="shared" ref="AQ36:AV67" ca="1" si="40">_xlfn.POISSON.DIST(AQ$2,$AJ36,0)</f>
        <v>0.15752268839788411</v>
      </c>
      <c r="AR36" s="55">
        <f t="shared" ca="1" si="40"/>
        <v>0.1288675939870326</v>
      </c>
      <c r="AS36" s="55">
        <f t="shared" ca="1" si="40"/>
        <v>8.434013892936959E-2</v>
      </c>
      <c r="AT36" s="55">
        <f t="shared" ca="1" si="40"/>
        <v>4.1398648883798177E-2</v>
      </c>
      <c r="AU36" s="55">
        <f t="shared" ca="1" si="40"/>
        <v>1.3547113321208863E-2</v>
      </c>
      <c r="AV36" s="55">
        <f t="shared" ca="1" si="40"/>
        <v>2.2165491421327396E-3</v>
      </c>
      <c r="AW36" s="55">
        <f t="shared" ca="1" si="31"/>
        <v>0.21167813968191299</v>
      </c>
      <c r="AX36" s="55">
        <f t="shared" ca="1" si="32"/>
        <v>0.15752268839788411</v>
      </c>
      <c r="AY36" s="54">
        <f t="shared" ca="1" si="33"/>
        <v>3</v>
      </c>
      <c r="AZ36" s="54">
        <f t="shared" ca="1" si="34"/>
        <v>5</v>
      </c>
      <c r="BA36" s="54" t="str">
        <f t="shared" si="35"/>
        <v>GoaHyderabad</v>
      </c>
      <c r="BB36" s="54">
        <f t="shared" si="19"/>
        <v>1</v>
      </c>
      <c r="BC36" s="54">
        <f t="shared" si="20"/>
        <v>1</v>
      </c>
      <c r="BD36" s="54">
        <f t="shared" si="21"/>
        <v>0</v>
      </c>
      <c r="BE36" s="54" t="str">
        <f t="shared" si="36"/>
        <v>HD</v>
      </c>
      <c r="BF36" s="55" t="str">
        <f t="shared" si="37"/>
        <v>AD</v>
      </c>
      <c r="BG36" s="86">
        <f t="shared" ca="1" si="38"/>
        <v>7.9742708750163399E-2</v>
      </c>
      <c r="BH36" s="86">
        <f t="shared" ca="1" si="39"/>
        <v>7.3055300425532071E-2</v>
      </c>
      <c r="BI36" s="87">
        <f t="shared" ca="1" si="22"/>
        <v>0.84720199082430447</v>
      </c>
    </row>
    <row r="37" spans="1:61" x14ac:dyDescent="0.2">
      <c r="A37" s="52">
        <f>'ISL 8'!B38</f>
        <v>44549</v>
      </c>
      <c r="B37" s="54">
        <f>'ISL 8'!C38</f>
        <v>35</v>
      </c>
      <c r="C37" s="54" t="str">
        <f>'ISL 8'!D38</f>
        <v>Mumbai City</v>
      </c>
      <c r="D37" s="54">
        <f>IF('ISL 8'!E38&lt;&gt;"",'ISL 8'!E38,INDEX($AK$2:$AP$2,,MATCH($AW37,AK37:AP37,0)))</f>
        <v>0</v>
      </c>
      <c r="E37" s="54" t="str">
        <f>'ISL 8'!G38</f>
        <v>Kerala Blasters</v>
      </c>
      <c r="F37" s="54">
        <f>IF('ISL 8'!F38&lt;&gt;"",'ISL 8'!F38,INDEX($AQ$2:$AV$2,,MATCH($AX37,AQ37:AV37,0)))</f>
        <v>3</v>
      </c>
      <c r="G37" s="55">
        <f>VLOOKUP($C37,'ISL Total'!$D$5:$AH$15,25,0)</f>
        <v>1.711666848062984</v>
      </c>
      <c r="H37" s="55">
        <f>VLOOKUP($C37,'ISL Total'!$D$5:$AH$15,28,0)</f>
        <v>2.0663350700408412</v>
      </c>
      <c r="I37" s="55">
        <f>VLOOKUP($E37,'ISL Total'!$D$5:$AH$15,26,0)</f>
        <v>2.1526909424023817</v>
      </c>
      <c r="J37" s="55">
        <f>VLOOKUP(E37,'ISL Total'!$D$5:$AH$15,29,0)</f>
        <v>1.99017477973497</v>
      </c>
      <c r="K37" s="55">
        <f t="shared" si="26"/>
        <v>4.8774808270057042</v>
      </c>
      <c r="L37" s="55">
        <f t="shared" si="27"/>
        <v>5.9587009612149711</v>
      </c>
      <c r="M37" s="55">
        <f t="shared" ca="1" si="11"/>
        <v>4.672679790770462</v>
      </c>
      <c r="N37" s="55">
        <v>5.0402852687972848</v>
      </c>
      <c r="O37" s="55">
        <v>4.7811409170903705</v>
      </c>
      <c r="P37" s="55">
        <v>4.3940084729450462</v>
      </c>
      <c r="Q37" s="55">
        <v>4.5317309398268319</v>
      </c>
      <c r="R37" s="55">
        <v>4.9562298015504549</v>
      </c>
      <c r="S37" s="55">
        <v>4.9652943412855102</v>
      </c>
      <c r="T37" s="55">
        <v>4.3307620742945918</v>
      </c>
      <c r="U37" s="55">
        <v>4.7099842238454954</v>
      </c>
      <c r="V37" s="55">
        <v>5.3922280690657471</v>
      </c>
      <c r="W37" s="55">
        <v>4.6573357457798377</v>
      </c>
      <c r="X37" s="55">
        <f t="shared" ca="1" si="28"/>
        <v>4.7665163313865113</v>
      </c>
      <c r="Y37" s="55">
        <f t="shared" ca="1" si="13"/>
        <v>6.048919527923589</v>
      </c>
      <c r="Z37" s="55">
        <v>6.1470222243743855</v>
      </c>
      <c r="AA37" s="55">
        <v>6.4290068979861399</v>
      </c>
      <c r="AB37" s="55">
        <v>6.0794942601634441</v>
      </c>
      <c r="AC37" s="55">
        <v>6.1106609460532759</v>
      </c>
      <c r="AD37" s="55">
        <v>6.1168521467493608</v>
      </c>
      <c r="AE37" s="55">
        <v>5.801528962428435</v>
      </c>
      <c r="AF37" s="55">
        <v>5.8838352343443248</v>
      </c>
      <c r="AG37" s="55">
        <v>5.9869449009889815</v>
      </c>
      <c r="AH37" s="55">
        <v>5.686411702093352</v>
      </c>
      <c r="AI37" s="55">
        <v>5.95441175986016</v>
      </c>
      <c r="AJ37" s="55">
        <f t="shared" ca="1" si="29"/>
        <v>6.0222807784514041</v>
      </c>
      <c r="AK37" s="55">
        <f t="shared" ca="1" si="30"/>
        <v>8.5099745126761862E-3</v>
      </c>
      <c r="AL37" s="55">
        <f t="shared" ca="1" si="23"/>
        <v>4.0562932494354005E-2</v>
      </c>
      <c r="AM37" s="55">
        <f t="shared" ca="1" si="23"/>
        <v>9.667194009163349E-2</v>
      </c>
      <c r="AN37" s="55">
        <f t="shared" ca="1" si="23"/>
        <v>0.15359612707786319</v>
      </c>
      <c r="AO37" s="55">
        <f t="shared" ca="1" si="23"/>
        <v>0.1830296120385882</v>
      </c>
      <c r="AP37" s="55">
        <f t="shared" ca="1" si="23"/>
        <v>0.17448272698185355</v>
      </c>
      <c r="AQ37" s="55">
        <f t="shared" ca="1" si="40"/>
        <v>0.16002227588986551</v>
      </c>
      <c r="AR37" s="55">
        <f t="shared" ca="1" si="40"/>
        <v>0.13285853132458422</v>
      </c>
      <c r="AS37" s="55">
        <f t="shared" ca="1" si="40"/>
        <v>8.8244660926452584E-2</v>
      </c>
      <c r="AT37" s="55">
        <f t="shared" ca="1" si="40"/>
        <v>4.3959090005669339E-2</v>
      </c>
      <c r="AU37" s="55">
        <f t="shared" ca="1" si="40"/>
        <v>1.4598817830932545E-2</v>
      </c>
      <c r="AV37" s="55">
        <f t="shared" ca="1" si="40"/>
        <v>2.4241343716767966E-3</v>
      </c>
      <c r="AW37" s="55">
        <f t="shared" ca="1" si="31"/>
        <v>0.1830296120385882</v>
      </c>
      <c r="AX37" s="55">
        <f t="shared" ca="1" si="32"/>
        <v>0.16002227588986551</v>
      </c>
      <c r="AY37" s="54">
        <f t="shared" ca="1" si="33"/>
        <v>4</v>
      </c>
      <c r="AZ37" s="54">
        <f t="shared" ca="1" si="34"/>
        <v>5</v>
      </c>
      <c r="BA37" s="54" t="str">
        <f t="shared" si="35"/>
        <v>Mumbai CityKerala Blasters</v>
      </c>
      <c r="BB37" s="54">
        <f t="shared" si="19"/>
        <v>0</v>
      </c>
      <c r="BC37" s="54">
        <f t="shared" si="20"/>
        <v>3</v>
      </c>
      <c r="BD37" s="54">
        <f t="shared" si="21"/>
        <v>3</v>
      </c>
      <c r="BE37" s="54" t="str">
        <f t="shared" si="36"/>
        <v>HL</v>
      </c>
      <c r="BF37" s="55" t="str">
        <f t="shared" si="37"/>
        <v>AW</v>
      </c>
      <c r="BG37" s="86">
        <f t="shared" ca="1" si="38"/>
        <v>8.7642483849203687E-2</v>
      </c>
      <c r="BH37" s="86">
        <f t="shared" ca="1" si="39"/>
        <v>7.0654617372466422E-2</v>
      </c>
      <c r="BI37" s="87">
        <f t="shared" ca="1" si="22"/>
        <v>0.84170289877832993</v>
      </c>
    </row>
    <row r="38" spans="1:61" x14ac:dyDescent="0.2">
      <c r="A38" s="52">
        <f>'ISL 8'!B39</f>
        <v>44550</v>
      </c>
      <c r="B38" s="54">
        <f>'ISL 8'!C39</f>
        <v>36</v>
      </c>
      <c r="C38" s="54" t="str">
        <f>'ISL 8'!D39</f>
        <v>Jamshedpur</v>
      </c>
      <c r="D38" s="54">
        <f>IF('ISL 8'!E39&lt;&gt;"",'ISL 8'!E39,INDEX($AK$2:$AP$2,,MATCH($AW38,AK38:AP38,0)))</f>
        <v>0</v>
      </c>
      <c r="E38" s="54" t="str">
        <f>'ISL 8'!G39</f>
        <v>Bengaluru</v>
      </c>
      <c r="F38" s="54">
        <f>IF('ISL 8'!F39&lt;&gt;"",'ISL 8'!F39,INDEX($AQ$2:$AV$2,,MATCH($AX38,AQ38:AV38,0)))</f>
        <v>0</v>
      </c>
      <c r="G38" s="55">
        <f>VLOOKUP($C38,'ISL Total'!$D$5:$AH$15,25,0)</f>
        <v>1.6665097487371039</v>
      </c>
      <c r="H38" s="55">
        <f>VLOOKUP($C38,'ISL Total'!$D$5:$AH$15,28,0)</f>
        <v>1.5979083171113402</v>
      </c>
      <c r="I38" s="55">
        <f>VLOOKUP($E38,'ISL Total'!$D$5:$AH$15,26,0)</f>
        <v>2.137197984655903</v>
      </c>
      <c r="J38" s="55">
        <f>VLOOKUP(E38,'ISL Total'!$D$5:$AH$15,29,0)</f>
        <v>1.6538618669066225</v>
      </c>
      <c r="K38" s="55">
        <f t="shared" si="26"/>
        <v>3.946319155690392</v>
      </c>
      <c r="L38" s="55">
        <f t="shared" si="27"/>
        <v>4.5747332311671913</v>
      </c>
      <c r="M38" s="55">
        <f t="shared" ca="1" si="11"/>
        <v>4.0280107427284202</v>
      </c>
      <c r="N38" s="55">
        <v>4.0686294589056544</v>
      </c>
      <c r="O38" s="55">
        <v>3.2954890538852841</v>
      </c>
      <c r="P38" s="55">
        <v>3.6775561270904813</v>
      </c>
      <c r="Q38" s="55">
        <v>4.3122763438213916</v>
      </c>
      <c r="R38" s="55">
        <v>4.2935549068828491</v>
      </c>
      <c r="S38" s="55">
        <v>4.3173713149960111</v>
      </c>
      <c r="T38" s="55">
        <v>3.7426687493389661</v>
      </c>
      <c r="U38" s="55">
        <v>4.1783011520268571</v>
      </c>
      <c r="V38" s="55">
        <v>3.770963125362579</v>
      </c>
      <c r="W38" s="55">
        <v>4.05759726566823</v>
      </c>
      <c r="X38" s="55">
        <f t="shared" ca="1" si="28"/>
        <v>3.9765834764278836</v>
      </c>
      <c r="Y38" s="55">
        <f t="shared" ca="1" si="13"/>
        <v>4.7611816419543995</v>
      </c>
      <c r="Z38" s="55">
        <v>4.4862837654725825</v>
      </c>
      <c r="AA38" s="55">
        <v>4.8494679579344302</v>
      </c>
      <c r="AB38" s="55">
        <v>4.6768892785310596</v>
      </c>
      <c r="AC38" s="55">
        <v>4.347525461400747</v>
      </c>
      <c r="AD38" s="55">
        <v>4.6453269577931238</v>
      </c>
      <c r="AE38" s="55">
        <v>4.3373896709939874</v>
      </c>
      <c r="AF38" s="55">
        <v>4.705068481401395</v>
      </c>
      <c r="AG38" s="55">
        <v>4.9252571540364229</v>
      </c>
      <c r="AH38" s="55">
        <v>4.6434482648136468</v>
      </c>
      <c r="AI38" s="55">
        <v>4.2330682268442148</v>
      </c>
      <c r="AJ38" s="55">
        <f t="shared" ca="1" si="29"/>
        <v>4.6009915328341835</v>
      </c>
      <c r="AK38" s="55">
        <f t="shared" ca="1" si="30"/>
        <v>1.874958844460119E-2</v>
      </c>
      <c r="AL38" s="55">
        <f t="shared" ca="1" si="23"/>
        <v>7.4559303598624269E-2</v>
      </c>
      <c r="AM38" s="55">
        <f t="shared" ca="1" si="23"/>
        <v>0.14824564735212967</v>
      </c>
      <c r="AN38" s="55">
        <f t="shared" ca="1" si="23"/>
        <v>0.19650373057094464</v>
      </c>
      <c r="AO38" s="55">
        <f t="shared" ca="1" si="23"/>
        <v>0.19535337201121381</v>
      </c>
      <c r="AP38" s="55">
        <f t="shared" ca="1" si="23"/>
        <v>0.15536779824085242</v>
      </c>
      <c r="AQ38" s="55">
        <f t="shared" ca="1" si="40"/>
        <v>0.17254035614619878</v>
      </c>
      <c r="AR38" s="55">
        <f t="shared" ca="1" si="40"/>
        <v>0.18750344889236836</v>
      </c>
      <c r="AS38" s="55">
        <f t="shared" ca="1" si="40"/>
        <v>0.16301134010291674</v>
      </c>
      <c r="AT38" s="55">
        <f t="shared" ca="1" si="40"/>
        <v>0.10628883292195677</v>
      </c>
      <c r="AU38" s="55">
        <f t="shared" ca="1" si="40"/>
        <v>4.620257705907295E-2</v>
      </c>
      <c r="AV38" s="55">
        <f t="shared" ca="1" si="40"/>
        <v>1.0041873958983889E-2</v>
      </c>
      <c r="AW38" s="55">
        <f t="shared" ca="1" si="31"/>
        <v>0.19650373057094464</v>
      </c>
      <c r="AX38" s="55">
        <f t="shared" ca="1" si="32"/>
        <v>0.18750344889236836</v>
      </c>
      <c r="AY38" s="54">
        <f t="shared" ca="1" si="33"/>
        <v>3</v>
      </c>
      <c r="AZ38" s="54">
        <f t="shared" ca="1" si="34"/>
        <v>4</v>
      </c>
      <c r="BA38" s="54" t="str">
        <f t="shared" si="35"/>
        <v>JamshedpurBengaluru</v>
      </c>
      <c r="BB38" s="54">
        <f t="shared" si="19"/>
        <v>1</v>
      </c>
      <c r="BC38" s="54">
        <f t="shared" si="20"/>
        <v>1</v>
      </c>
      <c r="BD38" s="54">
        <f t="shared" si="21"/>
        <v>0</v>
      </c>
      <c r="BE38" s="54" t="str">
        <f t="shared" si="36"/>
        <v>HD</v>
      </c>
      <c r="BF38" s="55" t="str">
        <f t="shared" si="37"/>
        <v>AD</v>
      </c>
      <c r="BG38" s="86">
        <f t="shared" ca="1" si="38"/>
        <v>0.18433249634708221</v>
      </c>
      <c r="BH38" s="86">
        <f t="shared" ca="1" si="39"/>
        <v>0.11485895251932367</v>
      </c>
      <c r="BI38" s="87">
        <f t="shared" ca="1" si="22"/>
        <v>0.70080855113359419</v>
      </c>
    </row>
    <row r="39" spans="1:61" x14ac:dyDescent="0.2">
      <c r="A39" s="52">
        <f>'ISL 8'!B40</f>
        <v>44551</v>
      </c>
      <c r="B39" s="54">
        <f>'ISL 8'!C40</f>
        <v>37</v>
      </c>
      <c r="C39" s="54" t="str">
        <f>'ISL 8'!D40</f>
        <v>NorthEast United</v>
      </c>
      <c r="D39" s="54">
        <f>IF('ISL 8'!E40&lt;&gt;"",'ISL 8'!E40,INDEX($AK$2:$AP$2,,MATCH($AW39,AK39:AP39,0)))</f>
        <v>2</v>
      </c>
      <c r="E39" s="54" t="str">
        <f>'ISL 8'!G40</f>
        <v>ATK-MB</v>
      </c>
      <c r="F39" s="54">
        <f>IF('ISL 8'!F40&lt;&gt;"",'ISL 8'!F40,INDEX($AQ$2:$AV$2,,MATCH($AX39,AQ39:AV39,0)))</f>
        <v>3</v>
      </c>
      <c r="G39" s="55">
        <f>VLOOKUP($C39,'ISL Total'!$D$5:$AH$15,25,0)</f>
        <v>1.9869978963421873</v>
      </c>
      <c r="H39" s="55">
        <f>VLOOKUP($C39,'ISL Total'!$D$5:$AH$15,28,0)</f>
        <v>2.4341100805374252</v>
      </c>
      <c r="I39" s="55">
        <f>VLOOKUP($E39,'ISL Total'!$D$5:$AH$15,26,0)</f>
        <v>2.3848410244665827</v>
      </c>
      <c r="J39" s="55">
        <f>VLOOKUP(E39,'ISL Total'!$D$5:$AH$15,29,0)</f>
        <v>1.8807593937667644</v>
      </c>
      <c r="K39" s="55">
        <f t="shared" si="26"/>
        <v>5.3507635535630742</v>
      </c>
      <c r="L39" s="55">
        <f t="shared" si="27"/>
        <v>7.7762248454185263</v>
      </c>
      <c r="M39" s="55">
        <f t="shared" ca="1" si="11"/>
        <v>5.2913587770554278</v>
      </c>
      <c r="N39" s="55">
        <v>5.2272146259139234</v>
      </c>
      <c r="O39" s="55">
        <v>5.7534180804769957</v>
      </c>
      <c r="P39" s="55">
        <v>5.4100868906667507</v>
      </c>
      <c r="Q39" s="55">
        <v>5.2951447377685152</v>
      </c>
      <c r="R39" s="55">
        <v>5.6291175973807412</v>
      </c>
      <c r="S39" s="55">
        <v>5.6470836899463217</v>
      </c>
      <c r="T39" s="55">
        <v>5.7760028802055974</v>
      </c>
      <c r="U39" s="55">
        <v>5.3756940876034705</v>
      </c>
      <c r="V39" s="55">
        <v>4.8603902440967524</v>
      </c>
      <c r="W39" s="55">
        <v>5.3852844637316801</v>
      </c>
      <c r="X39" s="55">
        <f t="shared" ca="1" si="28"/>
        <v>5.422799643167834</v>
      </c>
      <c r="Y39" s="55">
        <f t="shared" ca="1" si="13"/>
        <v>7.7877886480514409</v>
      </c>
      <c r="Z39" s="55">
        <v>7.5632406853846224</v>
      </c>
      <c r="AA39" s="55">
        <v>7.8236678800099515</v>
      </c>
      <c r="AB39" s="55">
        <v>7.6838390462965025</v>
      </c>
      <c r="AC39" s="55">
        <v>7.9248781459790019</v>
      </c>
      <c r="AD39" s="55">
        <v>7.8398245622549432</v>
      </c>
      <c r="AE39" s="55">
        <v>7.6620271188189379</v>
      </c>
      <c r="AF39" s="55">
        <v>8.0266325040288358</v>
      </c>
      <c r="AG39" s="55">
        <v>7.8013874874385634</v>
      </c>
      <c r="AH39" s="55">
        <v>8.0396854661603339</v>
      </c>
      <c r="AI39" s="55">
        <v>7.432108988932332</v>
      </c>
      <c r="AJ39" s="55">
        <f t="shared" ca="1" si="29"/>
        <v>7.7804618666686789</v>
      </c>
      <c r="AK39" s="55">
        <f t="shared" ca="1" si="30"/>
        <v>4.4147695507778207E-3</v>
      </c>
      <c r="AL39" s="55">
        <f t="shared" ca="1" si="23"/>
        <v>2.3940410744626186E-2</v>
      </c>
      <c r="AM39" s="55">
        <f t="shared" ca="1" si="23"/>
        <v>6.4912025421625136E-2</v>
      </c>
      <c r="AN39" s="55">
        <f t="shared" ca="1" si="23"/>
        <v>0.11733496943123009</v>
      </c>
      <c r="AO39" s="55">
        <f t="shared" ca="1" si="23"/>
        <v>0.15907100759069576</v>
      </c>
      <c r="AP39" s="55">
        <f t="shared" ca="1" si="23"/>
        <v>0.17252204064023455</v>
      </c>
      <c r="AQ39" s="55">
        <f t="shared" ca="1" si="40"/>
        <v>9.9273650279554176E-2</v>
      </c>
      <c r="AR39" s="55">
        <f t="shared" ca="1" si="40"/>
        <v>6.3796759100407843E-2</v>
      </c>
      <c r="AS39" s="55">
        <f t="shared" ca="1" si="40"/>
        <v>3.2798443174028871E-2</v>
      </c>
      <c r="AT39" s="55">
        <f t="shared" ca="1" si="40"/>
        <v>1.2646463822875348E-2</v>
      </c>
      <c r="AU39" s="55">
        <f t="shared" ca="1" si="40"/>
        <v>3.2508259894062342E-3</v>
      </c>
      <c r="AV39" s="55">
        <f t="shared" ca="1" si="40"/>
        <v>4.1781915329894471E-4</v>
      </c>
      <c r="AW39" s="55">
        <f t="shared" ca="1" si="31"/>
        <v>0.17252204064023455</v>
      </c>
      <c r="AX39" s="55">
        <f t="shared" ca="1" si="32"/>
        <v>9.9273650279554176E-2</v>
      </c>
      <c r="AY39" s="54">
        <f t="shared" ca="1" si="33"/>
        <v>5</v>
      </c>
      <c r="AZ39" s="54">
        <f t="shared" ca="1" si="34"/>
        <v>5</v>
      </c>
      <c r="BA39" s="54" t="str">
        <f t="shared" si="35"/>
        <v>NorthEast UnitedATK-MB</v>
      </c>
      <c r="BB39" s="54">
        <f t="shared" si="19"/>
        <v>0</v>
      </c>
      <c r="BC39" s="54">
        <f t="shared" si="20"/>
        <v>3</v>
      </c>
      <c r="BD39" s="54">
        <f t="shared" si="21"/>
        <v>1</v>
      </c>
      <c r="BE39" s="54" t="str">
        <f t="shared" si="36"/>
        <v>HL</v>
      </c>
      <c r="BF39" s="55" t="str">
        <f t="shared" si="37"/>
        <v>AW</v>
      </c>
      <c r="BG39" s="86">
        <f t="shared" ca="1" si="38"/>
        <v>2.9454534290314353E-2</v>
      </c>
      <c r="BH39" s="86">
        <f t="shared" ca="1" si="39"/>
        <v>3.2024090072258607E-2</v>
      </c>
      <c r="BI39" s="87">
        <f t="shared" ca="1" si="22"/>
        <v>0.93852137563742699</v>
      </c>
    </row>
    <row r="40" spans="1:61" x14ac:dyDescent="0.2">
      <c r="A40" s="52">
        <f>'ISL 8'!B41</f>
        <v>44552</v>
      </c>
      <c r="B40" s="54">
        <f>'ISL 8'!C41</f>
        <v>38</v>
      </c>
      <c r="C40" s="54" t="str">
        <f>'ISL 8'!D41</f>
        <v>Chennaiyin</v>
      </c>
      <c r="D40" s="54">
        <f>IF('ISL 8'!E41&lt;&gt;"",'ISL 8'!E41,INDEX($AK$2:$AP$2,,MATCH($AW40,AK40:AP40,0)))</f>
        <v>0</v>
      </c>
      <c r="E40" s="54" t="str">
        <f>'ISL 8'!G41</f>
        <v>Kerala Blasters</v>
      </c>
      <c r="F40" s="54">
        <f>IF('ISL 8'!F41&lt;&gt;"",'ISL 8'!F41,INDEX($AQ$2:$AV$2,,MATCH($AX40,AQ40:AV40,0)))</f>
        <v>3</v>
      </c>
      <c r="G40" s="55">
        <f>VLOOKUP($C40,'ISL Total'!$D$5:$AH$15,25,0)</f>
        <v>1.6923160070404248</v>
      </c>
      <c r="H40" s="55">
        <f>VLOOKUP($C40,'ISL Total'!$D$5:$AH$15,28,0)</f>
        <v>2.1914366960571012</v>
      </c>
      <c r="I40" s="55">
        <f>VLOOKUP($E40,'ISL Total'!$D$5:$AH$15,26,0)</f>
        <v>2.1526909424023817</v>
      </c>
      <c r="J40" s="55">
        <f>VLOOKUP(E40,'ISL Total'!$D$5:$AH$15,29,0)</f>
        <v>1.99017477973497</v>
      </c>
      <c r="K40" s="55">
        <f t="shared" si="26"/>
        <v>4.8223396316377052</v>
      </c>
      <c r="L40" s="55">
        <f t="shared" si="27"/>
        <v>6.3194571570520326</v>
      </c>
      <c r="M40" s="55">
        <f t="shared" ca="1" si="11"/>
        <v>4.9926771591094852</v>
      </c>
      <c r="N40" s="55">
        <v>5.0084542373382375</v>
      </c>
      <c r="O40" s="55">
        <v>4.8663245611371231</v>
      </c>
      <c r="P40" s="55">
        <v>4.7730205330093565</v>
      </c>
      <c r="Q40" s="55">
        <v>4.5684597902834003</v>
      </c>
      <c r="R40" s="55">
        <v>4.8100243709463912</v>
      </c>
      <c r="S40" s="55">
        <v>4.6120192047360371</v>
      </c>
      <c r="T40" s="55">
        <v>4.8877986415661416</v>
      </c>
      <c r="U40" s="55">
        <v>5.3943304786481967</v>
      </c>
      <c r="V40" s="55">
        <v>4.6529322573182226</v>
      </c>
      <c r="W40" s="55">
        <v>5.5921703040712751</v>
      </c>
      <c r="X40" s="55">
        <f t="shared" ca="1" si="28"/>
        <v>4.9234737761967144</v>
      </c>
      <c r="Y40" s="55">
        <f t="shared" ca="1" si="13"/>
        <v>6.3281219382698239</v>
      </c>
      <c r="Z40" s="55">
        <v>6.3770657985025023</v>
      </c>
      <c r="AA40" s="55">
        <v>6.1441504937627922</v>
      </c>
      <c r="AB40" s="55">
        <v>6.2346825806128336</v>
      </c>
      <c r="AC40" s="55">
        <v>6.5886093548415321</v>
      </c>
      <c r="AD40" s="55">
        <v>6.4932742808838046</v>
      </c>
      <c r="AE40" s="55">
        <v>6.3016713792269448</v>
      </c>
      <c r="AF40" s="55">
        <v>6.4209460692812419</v>
      </c>
      <c r="AG40" s="55">
        <v>6.5416647706437274</v>
      </c>
      <c r="AH40" s="55">
        <v>6.5054563916130013</v>
      </c>
      <c r="AI40" s="55">
        <v>6.5971537458449614</v>
      </c>
      <c r="AJ40" s="55">
        <f t="shared" ca="1" si="29"/>
        <v>6.4120724366802877</v>
      </c>
      <c r="AK40" s="55">
        <f t="shared" ca="1" si="30"/>
        <v>7.2738192885936151E-3</v>
      </c>
      <c r="AL40" s="55">
        <f t="shared" ca="1" si="30"/>
        <v>3.5812458520184505E-2</v>
      </c>
      <c r="AM40" s="55">
        <f t="shared" ca="1" si="30"/>
        <v>8.8160850192630522E-2</v>
      </c>
      <c r="AN40" s="55">
        <f t="shared" ca="1" si="30"/>
        <v>0.14468587800354113</v>
      </c>
      <c r="AO40" s="55">
        <f t="shared" ca="1" si="30"/>
        <v>0.17808928153410797</v>
      </c>
      <c r="AP40" s="55">
        <f t="shared" ca="1" si="30"/>
        <v>0.17536358149097883</v>
      </c>
      <c r="AQ40" s="55">
        <f t="shared" ca="1" si="40"/>
        <v>0.14828020461191868</v>
      </c>
      <c r="AR40" s="55">
        <f t="shared" ca="1" si="40"/>
        <v>0.11562580279324451</v>
      </c>
      <c r="AS40" s="55">
        <f t="shared" ca="1" si="40"/>
        <v>7.2130066486340058E-2</v>
      </c>
      <c r="AT40" s="55">
        <f t="shared" ca="1" si="40"/>
        <v>3.374731049842157E-2</v>
      </c>
      <c r="AU40" s="55">
        <f t="shared" ca="1" si="40"/>
        <v>1.052617880776578E-2</v>
      </c>
      <c r="AV40" s="55">
        <f t="shared" ca="1" si="40"/>
        <v>1.6416188231983672E-3</v>
      </c>
      <c r="AW40" s="55">
        <f t="shared" ca="1" si="31"/>
        <v>0.17808928153410797</v>
      </c>
      <c r="AX40" s="55">
        <f t="shared" ca="1" si="32"/>
        <v>0.14828020461191868</v>
      </c>
      <c r="AY40" s="54">
        <f t="shared" ca="1" si="33"/>
        <v>4</v>
      </c>
      <c r="AZ40" s="54">
        <f t="shared" ca="1" si="34"/>
        <v>5</v>
      </c>
      <c r="BA40" s="54" t="str">
        <f t="shared" si="35"/>
        <v>ChennaiyinKerala Blasters</v>
      </c>
      <c r="BB40" s="54">
        <f t="shared" si="19"/>
        <v>0</v>
      </c>
      <c r="BC40" s="54">
        <f t="shared" si="20"/>
        <v>3</v>
      </c>
      <c r="BD40" s="54">
        <f t="shared" si="21"/>
        <v>3</v>
      </c>
      <c r="BE40" s="54" t="str">
        <f t="shared" si="36"/>
        <v>HL</v>
      </c>
      <c r="BF40" s="55" t="str">
        <f t="shared" si="37"/>
        <v>AW</v>
      </c>
      <c r="BG40" s="86">
        <f t="shared" ca="1" si="38"/>
        <v>6.9774741348274674E-2</v>
      </c>
      <c r="BH40" s="86">
        <f t="shared" ca="1" si="39"/>
        <v>6.0394966657089884E-2</v>
      </c>
      <c r="BI40" s="87">
        <f t="shared" ca="1" si="22"/>
        <v>0.86983029199463546</v>
      </c>
    </row>
    <row r="41" spans="1:61" x14ac:dyDescent="0.2">
      <c r="A41" s="52">
        <f>'ISL 8'!B42</f>
        <v>44553</v>
      </c>
      <c r="B41" s="54">
        <f>'ISL 8'!C42</f>
        <v>39</v>
      </c>
      <c r="C41" s="54" t="str">
        <f>'ISL 8'!D42</f>
        <v>Hyderabad</v>
      </c>
      <c r="D41" s="54">
        <f>IF('ISL 8'!E42&lt;&gt;"",'ISL 8'!E42,INDEX($AK$2:$AP$2,,MATCH($AW41,AK41:AP41,0)))</f>
        <v>1</v>
      </c>
      <c r="E41" s="54" t="str">
        <f>'ISL 8'!G42</f>
        <v>East Bengal</v>
      </c>
      <c r="F41" s="54">
        <f>IF('ISL 8'!F42&lt;&gt;"",'ISL 8'!F42,INDEX($AQ$2:$AV$2,,MATCH($AX41,AQ41:AV41,0)))</f>
        <v>1</v>
      </c>
      <c r="G41" s="55">
        <f>VLOOKUP($C41,'ISL Total'!$D$5:$AH$15,25,0)</f>
        <v>2.6008540597170162</v>
      </c>
      <c r="H41" s="55">
        <f>VLOOKUP($C41,'ISL Total'!$D$5:$AH$15,28,0)</f>
        <v>1.7011584411618765</v>
      </c>
      <c r="I41" s="55">
        <f>VLOOKUP($E41,'ISL Total'!$D$5:$AH$15,26,0)</f>
        <v>2.2664839306843771</v>
      </c>
      <c r="J41" s="55">
        <f>VLOOKUP(E41,'ISL Total'!$D$5:$AH$15,29,0)</f>
        <v>2.3205343227457229</v>
      </c>
      <c r="K41" s="55">
        <f t="shared" si="26"/>
        <v>8.6414991829079444</v>
      </c>
      <c r="L41" s="55">
        <f t="shared" si="27"/>
        <v>5.1649553252722926</v>
      </c>
      <c r="M41" s="55">
        <f t="shared" ca="1" si="11"/>
        <v>9.0684304413942716</v>
      </c>
      <c r="N41" s="55">
        <v>8.5659940608758731</v>
      </c>
      <c r="O41" s="55">
        <v>8.8298893677081249</v>
      </c>
      <c r="P41" s="55">
        <v>8.1253399916619085</v>
      </c>
      <c r="Q41" s="55">
        <v>8.2224274001263584</v>
      </c>
      <c r="R41" s="55">
        <v>8.2825815732853503</v>
      </c>
      <c r="S41" s="55">
        <v>8.1567376527781246</v>
      </c>
      <c r="T41" s="55">
        <v>8.6997707089408589</v>
      </c>
      <c r="U41" s="55">
        <v>8.8482447811204015</v>
      </c>
      <c r="V41" s="55">
        <v>9.1089795262590769</v>
      </c>
      <c r="W41" s="55">
        <v>8.3474788768234163</v>
      </c>
      <c r="X41" s="55">
        <f t="shared" ca="1" si="28"/>
        <v>8.5687158528157976</v>
      </c>
      <c r="Y41" s="55">
        <f t="shared" ca="1" si="13"/>
        <v>5.2474682535374626</v>
      </c>
      <c r="Z41" s="55">
        <v>5.2468318682248478</v>
      </c>
      <c r="AA41" s="55">
        <v>5.2946603288232579</v>
      </c>
      <c r="AB41" s="55">
        <v>5.3175181106139178</v>
      </c>
      <c r="AC41" s="55">
        <v>5.3071983141154035</v>
      </c>
      <c r="AD41" s="55">
        <v>5.2567823109191787</v>
      </c>
      <c r="AE41" s="55">
        <v>4.9701700408458356</v>
      </c>
      <c r="AF41" s="55">
        <v>5.0209669735667362</v>
      </c>
      <c r="AG41" s="55">
        <v>5.3883126988116175</v>
      </c>
      <c r="AH41" s="55">
        <v>5.0248963576373793</v>
      </c>
      <c r="AI41" s="55">
        <v>5.3826935762539376</v>
      </c>
      <c r="AJ41" s="55">
        <f t="shared" ca="1" si="29"/>
        <v>5.2234089848499616</v>
      </c>
      <c r="AK41" s="55">
        <f t="shared" ca="1" si="30"/>
        <v>1.8995642526521255E-4</v>
      </c>
      <c r="AL41" s="55">
        <f t="shared" ca="1" si="30"/>
        <v>1.6276826325142466E-3</v>
      </c>
      <c r="AM41" s="55">
        <f t="shared" ca="1" si="30"/>
        <v>6.9735749882888888E-3</v>
      </c>
      <c r="AN41" s="55">
        <f t="shared" ca="1" si="30"/>
        <v>1.9918194184316906E-2</v>
      </c>
      <c r="AO41" s="55">
        <f t="shared" ca="1" si="30"/>
        <v>4.2668336566654932E-2</v>
      </c>
      <c r="AP41" s="55">
        <f t="shared" ca="1" si="30"/>
        <v>7.31225703903952E-2</v>
      </c>
      <c r="AQ41" s="55">
        <f t="shared" ca="1" si="40"/>
        <v>0.17461888624880836</v>
      </c>
      <c r="AR41" s="55">
        <f t="shared" ca="1" si="40"/>
        <v>0.16715031003246644</v>
      </c>
      <c r="AS41" s="55">
        <f t="shared" ca="1" si="40"/>
        <v>0.12800093618345507</v>
      </c>
      <c r="AT41" s="55">
        <f t="shared" ca="1" si="40"/>
        <v>7.3515746070072566E-2</v>
      </c>
      <c r="AU41" s="55">
        <f t="shared" ca="1" si="40"/>
        <v>2.814856974948678E-2</v>
      </c>
      <c r="AV41" s="55">
        <f t="shared" ca="1" si="40"/>
        <v>5.3889270074637527E-3</v>
      </c>
      <c r="AW41" s="55">
        <f t="shared" ca="1" si="31"/>
        <v>7.31225703903952E-2</v>
      </c>
      <c r="AX41" s="55">
        <f t="shared" ca="1" si="32"/>
        <v>0.17461888624880836</v>
      </c>
      <c r="AY41" s="54">
        <f t="shared" ca="1" si="33"/>
        <v>5</v>
      </c>
      <c r="AZ41" s="54">
        <f t="shared" ca="1" si="34"/>
        <v>5</v>
      </c>
      <c r="BA41" s="54" t="str">
        <f t="shared" si="35"/>
        <v>HyderabadEast Bengal</v>
      </c>
      <c r="BB41" s="54">
        <f t="shared" si="19"/>
        <v>1</v>
      </c>
      <c r="BC41" s="54">
        <f t="shared" si="20"/>
        <v>1</v>
      </c>
      <c r="BD41" s="54">
        <f t="shared" si="21"/>
        <v>0</v>
      </c>
      <c r="BE41" s="54" t="str">
        <f t="shared" si="36"/>
        <v>HD</v>
      </c>
      <c r="BF41" s="55" t="str">
        <f t="shared" si="37"/>
        <v>AD</v>
      </c>
      <c r="BG41" s="86">
        <f t="shared" ca="1" si="38"/>
        <v>4.1814551872934994E-2</v>
      </c>
      <c r="BH41" s="86">
        <f t="shared" ca="1" si="39"/>
        <v>2.3009663157044676E-2</v>
      </c>
      <c r="BI41" s="87">
        <f t="shared" ca="1" si="22"/>
        <v>0.9351757849700203</v>
      </c>
    </row>
    <row r="42" spans="1:61" x14ac:dyDescent="0.2">
      <c r="A42" s="52">
        <f>'ISL 8'!B43</f>
        <v>44554</v>
      </c>
      <c r="B42" s="54">
        <f>'ISL 8'!C43</f>
        <v>40</v>
      </c>
      <c r="C42" s="54" t="str">
        <f>'ISL 8'!D43</f>
        <v>Odisha</v>
      </c>
      <c r="D42" s="54">
        <f>IF('ISL 8'!E43&lt;&gt;"",'ISL 8'!E43,INDEX($AK$2:$AP$2,,MATCH($AW42,AK42:AP42,0)))</f>
        <v>1</v>
      </c>
      <c r="E42" s="54" t="str">
        <f>'ISL 8'!G43</f>
        <v>Goa</v>
      </c>
      <c r="F42" s="54">
        <f>IF('ISL 8'!F43&lt;&gt;"",'ISL 8'!F43,INDEX($AQ$2:$AV$2,,MATCH($AX42,AQ42:AV42,0)))</f>
        <v>1</v>
      </c>
      <c r="G42" s="55">
        <f>VLOOKUP($C42,'ISL Total'!$D$5:$AH$15,25,0)</f>
        <v>1.4571180555555554</v>
      </c>
      <c r="H42" s="55">
        <f>VLOOKUP($C42,'ISL Total'!$D$5:$AH$15,28,0)</f>
        <v>1.7565140845070424</v>
      </c>
      <c r="I42" s="55">
        <f>VLOOKUP($E42,'ISL Total'!$D$5:$AH$15,26,0)</f>
        <v>2.0171275621206917</v>
      </c>
      <c r="J42" s="55">
        <f>VLOOKUP(E42,'ISL Total'!$D$5:$AH$15,29,0)</f>
        <v>2.2576929605011884</v>
      </c>
      <c r="K42" s="55">
        <f t="shared" si="26"/>
        <v>4.7102583898976498</v>
      </c>
      <c r="L42" s="55">
        <f t="shared" si="27"/>
        <v>4.7462888040932718</v>
      </c>
      <c r="M42" s="55">
        <f t="shared" ca="1" si="11"/>
        <v>4.7979676405363572</v>
      </c>
      <c r="N42" s="55">
        <v>4.3802473225984508</v>
      </c>
      <c r="O42" s="55">
        <v>4.744725337612671</v>
      </c>
      <c r="P42" s="55">
        <v>4.5619517269071048</v>
      </c>
      <c r="Q42" s="55">
        <v>4.5691964755285523</v>
      </c>
      <c r="R42" s="55">
        <v>4.7591894083545592</v>
      </c>
      <c r="S42" s="55">
        <v>4.7918022396686295</v>
      </c>
      <c r="T42" s="55">
        <v>5.0218189675146352</v>
      </c>
      <c r="U42" s="55">
        <v>4.6450260823033016</v>
      </c>
      <c r="V42" s="55">
        <v>4.2326519183335574</v>
      </c>
      <c r="W42" s="55">
        <v>5.0272822140564664</v>
      </c>
      <c r="X42" s="55">
        <f t="shared" ca="1" si="28"/>
        <v>4.6847144848558449</v>
      </c>
      <c r="Y42" s="55">
        <f t="shared" ca="1" si="13"/>
        <v>4.9020224538474002</v>
      </c>
      <c r="Z42" s="55">
        <v>4.6711043946754005</v>
      </c>
      <c r="AA42" s="55">
        <v>4.9987402326724348</v>
      </c>
      <c r="AB42" s="55">
        <v>4.8828012583888611</v>
      </c>
      <c r="AC42" s="55">
        <v>4.9377517694176092</v>
      </c>
      <c r="AD42" s="55">
        <v>4.7424198499535057</v>
      </c>
      <c r="AE42" s="55">
        <v>5.0070795525468066</v>
      </c>
      <c r="AF42" s="55">
        <v>4.6365981993746299</v>
      </c>
      <c r="AG42" s="55">
        <v>4.612555069334813</v>
      </c>
      <c r="AH42" s="55">
        <v>4.6870923778011413</v>
      </c>
      <c r="AI42" s="55">
        <v>5.0583589837040694</v>
      </c>
      <c r="AJ42" s="55">
        <f t="shared" ca="1" si="29"/>
        <v>4.8305931037924248</v>
      </c>
      <c r="AK42" s="55">
        <f t="shared" ca="1" si="30"/>
        <v>9.2353710741423633E-3</v>
      </c>
      <c r="AL42" s="55">
        <f t="shared" ca="1" si="30"/>
        <v>4.3265076644053414E-2</v>
      </c>
      <c r="AM42" s="55">
        <f t="shared" ca="1" si="30"/>
        <v>0.10134226562139767</v>
      </c>
      <c r="AN42" s="55">
        <f t="shared" ca="1" si="30"/>
        <v>0.1582531932282234</v>
      </c>
      <c r="AO42" s="55">
        <f t="shared" ca="1" si="30"/>
        <v>0.18534275664773728</v>
      </c>
      <c r="AP42" s="55">
        <f t="shared" ca="1" si="30"/>
        <v>0.17365557934615333</v>
      </c>
      <c r="AQ42" s="55">
        <f t="shared" ca="1" si="40"/>
        <v>0.1749528855272634</v>
      </c>
      <c r="AR42" s="55">
        <f t="shared" ca="1" si="40"/>
        <v>0.1810884106445548</v>
      </c>
      <c r="AS42" s="55">
        <f t="shared" ca="1" si="40"/>
        <v>0.14995128486593914</v>
      </c>
      <c r="AT42" s="55">
        <f t="shared" ca="1" si="40"/>
        <v>9.312600853188073E-2</v>
      </c>
      <c r="AU42" s="55">
        <f t="shared" ca="1" si="40"/>
        <v>3.8556759607332236E-2</v>
      </c>
      <c r="AV42" s="55">
        <f t="shared" ca="1" si="40"/>
        <v>7.9817858343444233E-3</v>
      </c>
      <c r="AW42" s="55">
        <f t="shared" ca="1" si="31"/>
        <v>0.18534275664773728</v>
      </c>
      <c r="AX42" s="55">
        <f t="shared" ca="1" si="32"/>
        <v>0.1810884106445548</v>
      </c>
      <c r="AY42" s="54">
        <f t="shared" ca="1" si="33"/>
        <v>4</v>
      </c>
      <c r="AZ42" s="54">
        <f t="shared" ca="1" si="34"/>
        <v>4</v>
      </c>
      <c r="BA42" s="54" t="str">
        <f t="shared" si="35"/>
        <v>OdishaGoa</v>
      </c>
      <c r="BB42" s="54">
        <f t="shared" si="19"/>
        <v>1</v>
      </c>
      <c r="BC42" s="54">
        <f t="shared" si="20"/>
        <v>1</v>
      </c>
      <c r="BD42" s="54">
        <f t="shared" si="21"/>
        <v>0</v>
      </c>
      <c r="BE42" s="54" t="str">
        <f t="shared" si="36"/>
        <v>HD</v>
      </c>
      <c r="BF42" s="55" t="str">
        <f t="shared" si="37"/>
        <v>AD</v>
      </c>
      <c r="BG42" s="86">
        <f t="shared" ca="1" si="38"/>
        <v>0.16258263294098257</v>
      </c>
      <c r="BH42" s="86">
        <f t="shared" ca="1" si="39"/>
        <v>9.8854716185517721E-2</v>
      </c>
      <c r="BI42" s="87">
        <f t="shared" ca="1" si="22"/>
        <v>0.7385626508734997</v>
      </c>
    </row>
    <row r="43" spans="1:61" x14ac:dyDescent="0.2">
      <c r="A43" s="52">
        <f>'ISL 8'!B44</f>
        <v>44556</v>
      </c>
      <c r="B43" s="54">
        <f>'ISL 8'!C44</f>
        <v>41</v>
      </c>
      <c r="C43" s="54" t="str">
        <f>'ISL 8'!D44</f>
        <v>Kerala Blasters</v>
      </c>
      <c r="D43" s="54">
        <f>IF('ISL 8'!E44&lt;&gt;"",'ISL 8'!E44,INDEX($AK$2:$AP$2,,MATCH($AW43,AK43:AP43,0)))</f>
        <v>1</v>
      </c>
      <c r="E43" s="54" t="str">
        <f>'ISL 8'!G44</f>
        <v>Jamshedpur</v>
      </c>
      <c r="F43" s="54">
        <f>IF('ISL 8'!F44&lt;&gt;"",'ISL 8'!F44,INDEX($AQ$2:$AV$2,,MATCH($AX43,AQ43:AV43,0)))</f>
        <v>1</v>
      </c>
      <c r="G43" s="55">
        <f>VLOOKUP($C43,'ISL Total'!$D$5:$AH$15,25,0)</f>
        <v>1.7408543887928634</v>
      </c>
      <c r="H43" s="55">
        <f>VLOOKUP($C43,'ISL Total'!$D$5:$AH$15,28,0)</f>
        <v>1.6729569830909576</v>
      </c>
      <c r="I43" s="55">
        <f>VLOOKUP($E43,'ISL Total'!$D$5:$AH$15,26,0)</f>
        <v>2.1921504637581588</v>
      </c>
      <c r="J43" s="55">
        <f>VLOOKUP(E43,'ISL Total'!$D$5:$AH$15,29,0)</f>
        <v>1.9716600419922359</v>
      </c>
      <c r="K43" s="55">
        <f t="shared" si="26"/>
        <v>4.9145028925258298</v>
      </c>
      <c r="L43" s="55">
        <f t="shared" si="27"/>
        <v>4.9127458158723254</v>
      </c>
      <c r="M43" s="55">
        <f t="shared" ca="1" si="11"/>
        <v>4.48433341289011</v>
      </c>
      <c r="N43" s="55">
        <v>5.4178454974143362</v>
      </c>
      <c r="O43" s="55">
        <v>4.7058441415858923</v>
      </c>
      <c r="P43" s="55">
        <v>4.8023165505572747</v>
      </c>
      <c r="Q43" s="55">
        <v>4.7055850799443446</v>
      </c>
      <c r="R43" s="55">
        <v>5.1156215731426062</v>
      </c>
      <c r="S43" s="55">
        <v>5.1593018790004006</v>
      </c>
      <c r="T43" s="55">
        <v>4.9803159402686186</v>
      </c>
      <c r="U43" s="55">
        <v>4.9436262711577506</v>
      </c>
      <c r="V43" s="55">
        <v>5.0755301384348765</v>
      </c>
      <c r="W43" s="55">
        <v>4.071279339336658</v>
      </c>
      <c r="X43" s="55">
        <f t="shared" ca="1" si="28"/>
        <v>4.8601454385211706</v>
      </c>
      <c r="Y43" s="55">
        <f t="shared" ca="1" si="13"/>
        <v>5.200228106122978</v>
      </c>
      <c r="Z43" s="55">
        <v>4.9754292198102963</v>
      </c>
      <c r="AA43" s="55">
        <v>5.1146102204965169</v>
      </c>
      <c r="AB43" s="55">
        <v>4.8300337955523363</v>
      </c>
      <c r="AC43" s="55">
        <v>4.7513982947671716</v>
      </c>
      <c r="AD43" s="55">
        <v>4.9483464398227044</v>
      </c>
      <c r="AE43" s="55">
        <v>5.1345572458543796</v>
      </c>
      <c r="AF43" s="55">
        <v>5.1056838497990977</v>
      </c>
      <c r="AG43" s="55">
        <v>4.9662469551128412</v>
      </c>
      <c r="AH43" s="55">
        <v>4.8090945165560752</v>
      </c>
      <c r="AI43" s="55">
        <v>5.0559073661293574</v>
      </c>
      <c r="AJ43" s="55">
        <f t="shared" ca="1" si="29"/>
        <v>4.9901396372748872</v>
      </c>
      <c r="AK43" s="55">
        <f t="shared" ca="1" si="30"/>
        <v>7.7493567541877632E-3</v>
      </c>
      <c r="AL43" s="55">
        <f t="shared" ca="1" si="30"/>
        <v>3.7663000880338887E-2</v>
      </c>
      <c r="AM43" s="55">
        <f t="shared" ca="1" si="30"/>
        <v>9.152383096479895E-2</v>
      </c>
      <c r="AN43" s="55">
        <f t="shared" ca="1" si="30"/>
        <v>0.14827304319318343</v>
      </c>
      <c r="AO43" s="55">
        <f t="shared" ca="1" si="30"/>
        <v>0.18015713863275074</v>
      </c>
      <c r="AP43" s="55">
        <f t="shared" ca="1" si="30"/>
        <v>0.17511797910859789</v>
      </c>
      <c r="AQ43" s="55">
        <f t="shared" ca="1" si="40"/>
        <v>0.17546566151766019</v>
      </c>
      <c r="AR43" s="55">
        <f t="shared" ca="1" si="40"/>
        <v>0.17581237627799323</v>
      </c>
      <c r="AS43" s="55">
        <f t="shared" ca="1" si="40"/>
        <v>0.14092782090883879</v>
      </c>
      <c r="AT43" s="55">
        <f t="shared" ca="1" si="40"/>
        <v>8.4723773973867808E-2</v>
      </c>
      <c r="AU43" s="55">
        <f t="shared" ca="1" si="40"/>
        <v>3.3956474220082314E-2</v>
      </c>
      <c r="AV43" s="55">
        <f t="shared" ca="1" si="40"/>
        <v>6.8047142341343229E-3</v>
      </c>
      <c r="AW43" s="55">
        <f t="shared" ca="1" si="31"/>
        <v>0.18015713863275074</v>
      </c>
      <c r="AX43" s="55">
        <f t="shared" ca="1" si="32"/>
        <v>0.17581237627799323</v>
      </c>
      <c r="AY43" s="54">
        <f t="shared" ca="1" si="33"/>
        <v>4</v>
      </c>
      <c r="AZ43" s="54">
        <f t="shared" ca="1" si="34"/>
        <v>4</v>
      </c>
      <c r="BA43" s="54" t="str">
        <f t="shared" si="35"/>
        <v>Kerala BlastersJamshedpur</v>
      </c>
      <c r="BB43" s="54">
        <f t="shared" si="19"/>
        <v>1</v>
      </c>
      <c r="BC43" s="54">
        <f t="shared" si="20"/>
        <v>1</v>
      </c>
      <c r="BD43" s="54">
        <f t="shared" si="21"/>
        <v>0</v>
      </c>
      <c r="BE43" s="54" t="str">
        <f t="shared" si="36"/>
        <v>HD</v>
      </c>
      <c r="BF43" s="55" t="str">
        <f t="shared" si="37"/>
        <v>AD</v>
      </c>
      <c r="BG43" s="86">
        <f t="shared" ca="1" si="38"/>
        <v>0.14803068433830141</v>
      </c>
      <c r="BH43" s="86">
        <f t="shared" ca="1" si="39"/>
        <v>9.2382722815670046E-2</v>
      </c>
      <c r="BI43" s="87">
        <f t="shared" ca="1" si="22"/>
        <v>0.75958659284602859</v>
      </c>
    </row>
    <row r="44" spans="1:61" x14ac:dyDescent="0.2">
      <c r="A44" s="52">
        <f>'ISL 8'!B45</f>
        <v>44557</v>
      </c>
      <c r="B44" s="54">
        <f>'ISL 8'!C45</f>
        <v>42</v>
      </c>
      <c r="C44" s="54" t="str">
        <f>'ISL 8'!D45</f>
        <v>NorthEast United</v>
      </c>
      <c r="D44" s="54">
        <f>IF('ISL 8'!E45&lt;&gt;"",'ISL 8'!E45,INDEX($AK$2:$AP$2,,MATCH($AW44,AK44:AP44,0)))</f>
        <v>3</v>
      </c>
      <c r="E44" s="54" t="str">
        <f>'ISL 8'!G45</f>
        <v>Mumbai City</v>
      </c>
      <c r="F44" s="54">
        <f>IF('ISL 8'!F45&lt;&gt;"",'ISL 8'!F45,INDEX($AQ$2:$AV$2,,MATCH($AX44,AQ44:AV44,0)))</f>
        <v>3</v>
      </c>
      <c r="G44" s="55">
        <f>VLOOKUP($C44,'ISL Total'!$D$5:$AH$15,25,0)</f>
        <v>1.9869978963421873</v>
      </c>
      <c r="H44" s="55">
        <f>VLOOKUP($C44,'ISL Total'!$D$5:$AH$15,28,0)</f>
        <v>2.4341100805374252</v>
      </c>
      <c r="I44" s="55">
        <f>VLOOKUP($E44,'ISL Total'!$D$5:$AH$15,26,0)</f>
        <v>2.4343333715027291</v>
      </c>
      <c r="J44" s="55">
        <f>VLOOKUP(E44,'ISL Total'!$D$5:$AH$15,29,0)</f>
        <v>1.9843487615958779</v>
      </c>
      <c r="K44" s="55">
        <f t="shared" si="26"/>
        <v>5.6454754745848001</v>
      </c>
      <c r="L44" s="55">
        <f t="shared" si="27"/>
        <v>7.9376039959498028</v>
      </c>
      <c r="M44" s="55">
        <f t="shared" ca="1" si="11"/>
        <v>5.4172067351033535</v>
      </c>
      <c r="N44" s="55">
        <v>5.3672993896731578</v>
      </c>
      <c r="O44" s="55">
        <v>5.4794275153946383</v>
      </c>
      <c r="P44" s="55">
        <v>6.0679424667571382</v>
      </c>
      <c r="Q44" s="55">
        <v>6.1125397259892598</v>
      </c>
      <c r="R44" s="55">
        <v>6.3316079888305223</v>
      </c>
      <c r="S44" s="55">
        <v>5.139647775962068</v>
      </c>
      <c r="T44" s="55">
        <v>5.9843909571397722</v>
      </c>
      <c r="U44" s="55">
        <v>5.7274771937886388</v>
      </c>
      <c r="V44" s="55">
        <v>5.8808315955113315</v>
      </c>
      <c r="W44" s="55">
        <v>6.2511561077536593</v>
      </c>
      <c r="X44" s="55">
        <f t="shared" ca="1" si="28"/>
        <v>5.7963206774457765</v>
      </c>
      <c r="Y44" s="55">
        <f t="shared" ca="1" si="13"/>
        <v>7.9951234335837196</v>
      </c>
      <c r="Z44" s="55">
        <v>8.2630703987929728</v>
      </c>
      <c r="AA44" s="55">
        <v>7.8216551762772646</v>
      </c>
      <c r="AB44" s="55">
        <v>8.0624349720592647</v>
      </c>
      <c r="AC44" s="55">
        <v>8.2710493506599523</v>
      </c>
      <c r="AD44" s="55">
        <v>7.7187165582084587</v>
      </c>
      <c r="AE44" s="55">
        <v>7.9830179449729526</v>
      </c>
      <c r="AF44" s="55">
        <v>7.3607168011155943</v>
      </c>
      <c r="AG44" s="55">
        <v>7.5943126352138002</v>
      </c>
      <c r="AH44" s="55">
        <v>7.983778943429412</v>
      </c>
      <c r="AI44" s="55">
        <v>7.7425306389168815</v>
      </c>
      <c r="AJ44" s="55">
        <f t="shared" ca="1" si="29"/>
        <v>7.8905824412027501</v>
      </c>
      <c r="AK44" s="55">
        <f t="shared" ca="1" si="30"/>
        <v>3.0387146136224494E-3</v>
      </c>
      <c r="AL44" s="55">
        <f t="shared" ca="1" si="30"/>
        <v>1.7613364347796458E-2</v>
      </c>
      <c r="AM44" s="55">
        <f t="shared" ca="1" si="30"/>
        <v>5.1046353984259427E-2</v>
      </c>
      <c r="AN44" s="55">
        <f t="shared" ca="1" si="30"/>
        <v>9.8627012369059838E-2</v>
      </c>
      <c r="AO44" s="55">
        <f t="shared" ca="1" si="30"/>
        <v>0.14291844778737048</v>
      </c>
      <c r="AP44" s="55">
        <f t="shared" ca="1" si="30"/>
        <v>0.165680230819678</v>
      </c>
      <c r="AQ44" s="55">
        <f t="shared" ca="1" si="40"/>
        <v>9.539544743918614E-2</v>
      </c>
      <c r="AR44" s="55">
        <f t="shared" ca="1" si="40"/>
        <v>6.0448926394237892E-2</v>
      </c>
      <c r="AS44" s="55">
        <f t="shared" ca="1" si="40"/>
        <v>3.0643581431245386E-2</v>
      </c>
      <c r="AT44" s="55">
        <f t="shared" ca="1" si="40"/>
        <v>1.1650691818856822E-2</v>
      </c>
      <c r="AU44" s="55">
        <f t="shared" ca="1" si="40"/>
        <v>2.9530625668441578E-3</v>
      </c>
      <c r="AV44" s="55">
        <f t="shared" ca="1" si="40"/>
        <v>3.7425153198120906E-4</v>
      </c>
      <c r="AW44" s="55">
        <f t="shared" ca="1" si="31"/>
        <v>0.165680230819678</v>
      </c>
      <c r="AX44" s="55">
        <f t="shared" ca="1" si="32"/>
        <v>9.539544743918614E-2</v>
      </c>
      <c r="AY44" s="54">
        <f t="shared" ca="1" si="33"/>
        <v>5</v>
      </c>
      <c r="AZ44" s="54">
        <f t="shared" ca="1" si="34"/>
        <v>5</v>
      </c>
      <c r="BA44" s="54" t="str">
        <f t="shared" si="35"/>
        <v>NorthEast UnitedMumbai City</v>
      </c>
      <c r="BB44" s="54">
        <f t="shared" si="19"/>
        <v>1</v>
      </c>
      <c r="BC44" s="54">
        <f t="shared" si="20"/>
        <v>1</v>
      </c>
      <c r="BD44" s="54">
        <f t="shared" si="21"/>
        <v>0</v>
      </c>
      <c r="BE44" s="54" t="str">
        <f t="shared" si="36"/>
        <v>HD</v>
      </c>
      <c r="BF44" s="55" t="str">
        <f t="shared" si="37"/>
        <v>AD</v>
      </c>
      <c r="BG44" s="86">
        <f t="shared" ca="1" si="38"/>
        <v>2.5747628706437202E-2</v>
      </c>
      <c r="BH44" s="86">
        <f t="shared" ca="1" si="39"/>
        <v>2.8114567315677987E-2</v>
      </c>
      <c r="BI44" s="87">
        <f t="shared" ca="1" si="22"/>
        <v>0.94613780397788483</v>
      </c>
    </row>
    <row r="45" spans="1:61" x14ac:dyDescent="0.2">
      <c r="A45" s="52">
        <f>'ISL 8'!B46</f>
        <v>44558</v>
      </c>
      <c r="B45" s="54">
        <f>'ISL 8'!C46</f>
        <v>43</v>
      </c>
      <c r="C45" s="54" t="str">
        <f>'ISL 8'!D46</f>
        <v>Hyderabad</v>
      </c>
      <c r="D45" s="54">
        <f>IF('ISL 8'!E46&lt;&gt;"",'ISL 8'!E46,INDEX($AK$2:$AP$2,,MATCH($AW45,AK45:AP45,0)))</f>
        <v>6</v>
      </c>
      <c r="E45" s="54" t="str">
        <f>'ISL 8'!G46</f>
        <v>Odisha</v>
      </c>
      <c r="F45" s="54">
        <f>IF('ISL 8'!F46&lt;&gt;"",'ISL 8'!F46,INDEX($AQ$2:$AV$2,,MATCH($AX45,AQ45:AV45,0)))</f>
        <v>1</v>
      </c>
      <c r="G45" s="55">
        <f>VLOOKUP($C45,'ISL Total'!$D$5:$AH$15,25,0)</f>
        <v>2.6008540597170162</v>
      </c>
      <c r="H45" s="55">
        <f>VLOOKUP($C45,'ISL Total'!$D$5:$AH$15,28,0)</f>
        <v>1.7011584411618765</v>
      </c>
      <c r="I45" s="55">
        <f>VLOOKUP($E45,'ISL Total'!$D$5:$AH$15,26,0)</f>
        <v>0.79788732394366213</v>
      </c>
      <c r="J45" s="55">
        <f>VLOOKUP(E45,'ISL Total'!$D$5:$AH$15,29,0)</f>
        <v>1.3928240740740743</v>
      </c>
      <c r="K45" s="55">
        <f t="shared" si="26"/>
        <v>5.1867744338313351</v>
      </c>
      <c r="L45" s="55">
        <f t="shared" si="27"/>
        <v>1.8182579311408142</v>
      </c>
      <c r="M45" s="55">
        <f t="shared" ca="1" si="11"/>
        <v>5.058957202317397</v>
      </c>
      <c r="N45" s="55">
        <v>5.4960236878094735</v>
      </c>
      <c r="O45" s="55">
        <v>4.8640445494095479</v>
      </c>
      <c r="P45" s="55">
        <v>5.3207825678577665</v>
      </c>
      <c r="Q45" s="55">
        <v>4.7449683238293074</v>
      </c>
      <c r="R45" s="55">
        <v>5.4534626012641914</v>
      </c>
      <c r="S45" s="55">
        <v>4.9611615225438115</v>
      </c>
      <c r="T45" s="55">
        <v>5.1339317947896728</v>
      </c>
      <c r="U45" s="55">
        <v>5.2967528949223981</v>
      </c>
      <c r="V45" s="55">
        <v>5.182527198305575</v>
      </c>
      <c r="W45" s="55">
        <v>4.5716311222991548</v>
      </c>
      <c r="X45" s="55">
        <f t="shared" ca="1" si="28"/>
        <v>5.0985675877589358</v>
      </c>
      <c r="Y45" s="55">
        <f t="shared" ca="1" si="13"/>
        <v>1.5457532871883424</v>
      </c>
      <c r="Z45" s="55">
        <v>1.8329842914233263</v>
      </c>
      <c r="AA45" s="55">
        <v>2.0977900762702348</v>
      </c>
      <c r="AB45" s="55">
        <v>1.7312035257856575</v>
      </c>
      <c r="AC45" s="55">
        <v>1.7039660397308234</v>
      </c>
      <c r="AD45" s="55">
        <v>1.7984558131078097</v>
      </c>
      <c r="AE45" s="55">
        <v>1.7712989731590632</v>
      </c>
      <c r="AF45" s="55">
        <v>1.8804314775342548</v>
      </c>
      <c r="AG45" s="55">
        <v>2.1975754994978915</v>
      </c>
      <c r="AH45" s="55">
        <v>1.6102371004722567</v>
      </c>
      <c r="AI45" s="55">
        <v>1.5716993323786301</v>
      </c>
      <c r="AJ45" s="55">
        <f t="shared" ca="1" si="29"/>
        <v>1.7946723105952993</v>
      </c>
      <c r="AK45" s="55">
        <f t="shared" ca="1" si="30"/>
        <v>6.1054858775812576E-3</v>
      </c>
      <c r="AL45" s="55">
        <f t="shared" ca="1" si="30"/>
        <v>3.1129232402955721E-2</v>
      </c>
      <c r="AM45" s="55">
        <f t="shared" ca="1" si="30"/>
        <v>7.9357247680762633E-2</v>
      </c>
      <c r="AN45" s="55">
        <f t="shared" ca="1" si="30"/>
        <v>0.13486943029296475</v>
      </c>
      <c r="AO45" s="55">
        <f t="shared" ca="1" si="30"/>
        <v>0.17191022646780585</v>
      </c>
      <c r="AP45" s="55">
        <f t="shared" ca="1" si="30"/>
        <v>0.17529918173461062</v>
      </c>
      <c r="AQ45" s="55">
        <f t="shared" ca="1" si="40"/>
        <v>2.5782693393020747E-2</v>
      </c>
      <c r="AR45" s="55">
        <f t="shared" ca="1" si="40"/>
        <v>7.1831200717830515E-2</v>
      </c>
      <c r="AS45" s="55">
        <f t="shared" ca="1" si="40"/>
        <v>0.16009875517387093</v>
      </c>
      <c r="AT45" s="55">
        <f t="shared" ca="1" si="40"/>
        <v>0.26762337764173605</v>
      </c>
      <c r="AU45" s="55">
        <f t="shared" ca="1" si="40"/>
        <v>0.29824205350665306</v>
      </c>
      <c r="AV45" s="55">
        <f t="shared" ca="1" si="40"/>
        <v>0.16618189947318301</v>
      </c>
      <c r="AW45" s="55">
        <f t="shared" ca="1" si="31"/>
        <v>0.17529918173461062</v>
      </c>
      <c r="AX45" s="55">
        <f t="shared" ca="1" si="32"/>
        <v>0.29824205350665306</v>
      </c>
      <c r="AY45" s="54">
        <f t="shared" ca="1" si="33"/>
        <v>5</v>
      </c>
      <c r="AZ45" s="54">
        <f t="shared" ca="1" si="34"/>
        <v>1</v>
      </c>
      <c r="BA45" s="54" t="str">
        <f t="shared" si="35"/>
        <v>HyderabadOdisha</v>
      </c>
      <c r="BB45" s="54">
        <f t="shared" si="19"/>
        <v>3</v>
      </c>
      <c r="BC45" s="54">
        <f t="shared" si="20"/>
        <v>0</v>
      </c>
      <c r="BD45" s="54">
        <f t="shared" si="21"/>
        <v>5</v>
      </c>
      <c r="BE45" s="54" t="str">
        <f t="shared" si="36"/>
        <v>HW</v>
      </c>
      <c r="BF45" s="55" t="str">
        <f t="shared" si="37"/>
        <v>AL</v>
      </c>
      <c r="BG45" s="86">
        <f t="shared" ca="1" si="38"/>
        <v>0.4631127932517704</v>
      </c>
      <c r="BH45" s="86">
        <f t="shared" ca="1" si="39"/>
        <v>6.9997153039444385E-2</v>
      </c>
      <c r="BI45" s="87">
        <f t="shared" ca="1" si="22"/>
        <v>0.46689005370878522</v>
      </c>
    </row>
    <row r="46" spans="1:61" x14ac:dyDescent="0.2">
      <c r="A46" s="52">
        <f>'ISL 8'!B47</f>
        <v>44559</v>
      </c>
      <c r="B46" s="54">
        <f>'ISL 8'!C47</f>
        <v>44</v>
      </c>
      <c r="C46" s="54" t="str">
        <f>'ISL 8'!D47</f>
        <v>ATK-MB</v>
      </c>
      <c r="D46" s="54">
        <f>IF('ISL 8'!E47&lt;&gt;"",'ISL 8'!E47,INDEX($AK$2:$AP$2,,MATCH($AW46,AK46:AP46,0)))</f>
        <v>2</v>
      </c>
      <c r="E46" s="54" t="str">
        <f>'ISL 8'!G47</f>
        <v>Goa</v>
      </c>
      <c r="F46" s="54">
        <f>IF('ISL 8'!F47&lt;&gt;"",'ISL 8'!F47,INDEX($AQ$2:$AV$2,,MATCH($AX46,AQ46:AV46,0)))</f>
        <v>1</v>
      </c>
      <c r="G46" s="55">
        <f>VLOOKUP($C46,'ISL Total'!$D$5:$AH$15,25,0)</f>
        <v>2.0695986245708529</v>
      </c>
      <c r="H46" s="55">
        <f>VLOOKUP($C46,'ISL Total'!$D$5:$AH$15,28,0)</f>
        <v>1.8323600137409826</v>
      </c>
      <c r="I46" s="55">
        <f>VLOOKUP($E46,'ISL Total'!$D$5:$AH$15,26,0)</f>
        <v>2.0171275621206917</v>
      </c>
      <c r="J46" s="55">
        <f>VLOOKUP(E46,'ISL Total'!$D$5:$AH$15,29,0)</f>
        <v>2.2576929605011884</v>
      </c>
      <c r="K46" s="55">
        <f t="shared" si="26"/>
        <v>6.6901540667470094</v>
      </c>
      <c r="L46" s="55">
        <f t="shared" si="27"/>
        <v>4.9512326117941532</v>
      </c>
      <c r="M46" s="55">
        <f t="shared" ca="1" si="11"/>
        <v>6.8300422414106219</v>
      </c>
      <c r="N46" s="55">
        <v>7.2654726584040557</v>
      </c>
      <c r="O46" s="55">
        <v>6.4347866786535697</v>
      </c>
      <c r="P46" s="55">
        <v>6.5323588227433884</v>
      </c>
      <c r="Q46" s="55">
        <v>6.2393948161457917</v>
      </c>
      <c r="R46" s="55">
        <v>6.494480423187782</v>
      </c>
      <c r="S46" s="55">
        <v>6.5587216904396781</v>
      </c>
      <c r="T46" s="55">
        <v>7.266654467830465</v>
      </c>
      <c r="U46" s="55">
        <v>6.6358686958019248</v>
      </c>
      <c r="V46" s="55">
        <v>7.0716039752367141</v>
      </c>
      <c r="W46" s="55">
        <v>7.3282031694335945</v>
      </c>
      <c r="X46" s="55">
        <f t="shared" ca="1" si="28"/>
        <v>6.7870534217534164</v>
      </c>
      <c r="Y46" s="55">
        <f t="shared" ca="1" si="13"/>
        <v>4.7691951333577256</v>
      </c>
      <c r="Z46" s="55">
        <v>4.5249720395921793</v>
      </c>
      <c r="AA46" s="55">
        <v>5.3661952448634347</v>
      </c>
      <c r="AB46" s="55">
        <v>4.9809679402681253</v>
      </c>
      <c r="AC46" s="55">
        <v>4.7886028135940757</v>
      </c>
      <c r="AD46" s="55">
        <v>4.8670216094628884</v>
      </c>
      <c r="AE46" s="55">
        <v>4.9501513104913402</v>
      </c>
      <c r="AF46" s="55">
        <v>4.7136373070970219</v>
      </c>
      <c r="AG46" s="55">
        <v>5.1995283684899594</v>
      </c>
      <c r="AH46" s="55">
        <v>5.3938059640478979</v>
      </c>
      <c r="AI46" s="55">
        <v>4.446931624402402</v>
      </c>
      <c r="AJ46" s="55">
        <f t="shared" ca="1" si="29"/>
        <v>4.9091826686970048</v>
      </c>
      <c r="AK46" s="55">
        <f t="shared" ca="1" si="30"/>
        <v>1.1282884711644842E-3</v>
      </c>
      <c r="AL46" s="55">
        <f t="shared" ca="1" si="30"/>
        <v>7.6577541289418443E-3</v>
      </c>
      <c r="AM46" s="55">
        <f t="shared" ca="1" si="30"/>
        <v>2.5986793181890552E-2</v>
      </c>
      <c r="AN46" s="55">
        <f t="shared" ca="1" si="30"/>
        <v>5.879125119518288E-2</v>
      </c>
      <c r="AO46" s="55">
        <f t="shared" ca="1" si="30"/>
        <v>9.9754840648357698E-2</v>
      </c>
      <c r="AP46" s="55">
        <f t="shared" ca="1" si="30"/>
        <v>0.13540828651178047</v>
      </c>
      <c r="AQ46" s="55">
        <f t="shared" ca="1" si="40"/>
        <v>0.17532093248864236</v>
      </c>
      <c r="AR46" s="55">
        <f t="shared" ca="1" si="40"/>
        <v>0.17856427874090094</v>
      </c>
      <c r="AS46" s="55">
        <f t="shared" ca="1" si="40"/>
        <v>0.14549410017231681</v>
      </c>
      <c r="AT46" s="55">
        <f t="shared" ca="1" si="40"/>
        <v>8.8911399304846345E-2</v>
      </c>
      <c r="AU46" s="55">
        <f t="shared" ca="1" si="40"/>
        <v>3.6222485617323823E-2</v>
      </c>
      <c r="AV46" s="55">
        <f t="shared" ca="1" si="40"/>
        <v>7.3785165600566242E-3</v>
      </c>
      <c r="AW46" s="55">
        <f t="shared" ca="1" si="31"/>
        <v>0.13540828651178047</v>
      </c>
      <c r="AX46" s="55">
        <f t="shared" ca="1" si="32"/>
        <v>0.17856427874090094</v>
      </c>
      <c r="AY46" s="54">
        <f t="shared" ca="1" si="33"/>
        <v>5</v>
      </c>
      <c r="AZ46" s="54">
        <f t="shared" ca="1" si="34"/>
        <v>4</v>
      </c>
      <c r="BA46" s="54" t="str">
        <f t="shared" si="35"/>
        <v>ATK-MBGoa</v>
      </c>
      <c r="BB46" s="54">
        <f t="shared" si="19"/>
        <v>3</v>
      </c>
      <c r="BC46" s="54">
        <f t="shared" si="20"/>
        <v>0</v>
      </c>
      <c r="BD46" s="54">
        <f t="shared" si="21"/>
        <v>1</v>
      </c>
      <c r="BE46" s="54" t="str">
        <f t="shared" si="36"/>
        <v>HW</v>
      </c>
      <c r="BF46" s="55" t="str">
        <f t="shared" si="37"/>
        <v>AL</v>
      </c>
      <c r="BG46" s="86">
        <f t="shared" ca="1" si="38"/>
        <v>9.8536084290228448E-2</v>
      </c>
      <c r="BH46" s="86">
        <f t="shared" ca="1" si="39"/>
        <v>5.270256854908302E-2</v>
      </c>
      <c r="BI46" s="87">
        <f t="shared" ca="1" si="22"/>
        <v>0.84876134716068852</v>
      </c>
    </row>
    <row r="47" spans="1:61" x14ac:dyDescent="0.2">
      <c r="A47" s="52">
        <f>'ISL 8'!B48</f>
        <v>44560</v>
      </c>
      <c r="B47" s="54">
        <f>'ISL 8'!C48</f>
        <v>45</v>
      </c>
      <c r="C47" s="54" t="str">
        <f>'ISL 8'!D48</f>
        <v>Chennaiyin</v>
      </c>
      <c r="D47" s="54">
        <f>IF('ISL 8'!E48&lt;&gt;"",'ISL 8'!E48,INDEX($AK$2:$AP$2,,MATCH($AW47,AK47:AP47,0)))</f>
        <v>2</v>
      </c>
      <c r="E47" s="54" t="str">
        <f>'ISL 8'!G48</f>
        <v>Bengaluru</v>
      </c>
      <c r="F47" s="54">
        <f>IF('ISL 8'!F48&lt;&gt;"",'ISL 8'!F48,INDEX($AQ$2:$AV$2,,MATCH($AX47,AQ47:AV47,0)))</f>
        <v>4</v>
      </c>
      <c r="G47" s="55">
        <f>VLOOKUP($C47,'ISL Total'!$D$5:$AH$15,25,0)</f>
        <v>1.6923160070404248</v>
      </c>
      <c r="H47" s="55">
        <f>VLOOKUP($C47,'ISL Total'!$D$5:$AH$15,28,0)</f>
        <v>2.1914366960571012</v>
      </c>
      <c r="I47" s="55">
        <f>VLOOKUP($E47,'ISL Total'!$D$5:$AH$15,26,0)</f>
        <v>2.137197984655903</v>
      </c>
      <c r="J47" s="55">
        <f>VLOOKUP(E47,'ISL Total'!$D$5:$AH$15,29,0)</f>
        <v>1.6538618669066225</v>
      </c>
      <c r="K47" s="55">
        <f t="shared" si="26"/>
        <v>4.0074287480922752</v>
      </c>
      <c r="L47" s="55">
        <f t="shared" si="27"/>
        <v>6.2739759034329579</v>
      </c>
      <c r="M47" s="55">
        <f t="shared" ca="1" si="11"/>
        <v>4.3160798075892117</v>
      </c>
      <c r="N47" s="55">
        <v>4.4014891482320238</v>
      </c>
      <c r="O47" s="55">
        <v>4.1149448923170482</v>
      </c>
      <c r="P47" s="55">
        <v>3.9558738884256934</v>
      </c>
      <c r="Q47" s="55">
        <v>3.9102246882939315</v>
      </c>
      <c r="R47" s="55">
        <v>3.8777811283239259</v>
      </c>
      <c r="S47" s="55">
        <v>3.4904802350605841</v>
      </c>
      <c r="T47" s="55">
        <v>4.0792878678495672</v>
      </c>
      <c r="U47" s="55">
        <v>4.2430927732136334</v>
      </c>
      <c r="V47" s="55">
        <v>4.4442763356157151</v>
      </c>
      <c r="W47" s="55">
        <v>4.4934668406150564</v>
      </c>
      <c r="X47" s="55">
        <f t="shared" ca="1" si="28"/>
        <v>4.120636145957854</v>
      </c>
      <c r="Y47" s="55">
        <f t="shared" ca="1" si="13"/>
        <v>6.1006179462196526</v>
      </c>
      <c r="Z47" s="55">
        <v>5.8906647877460943</v>
      </c>
      <c r="AA47" s="55">
        <v>6.335240614012096</v>
      </c>
      <c r="AB47" s="55">
        <v>6.5551413894825998</v>
      </c>
      <c r="AC47" s="55">
        <v>6.5260293976849049</v>
      </c>
      <c r="AD47" s="55">
        <v>6.1758885376029529</v>
      </c>
      <c r="AE47" s="55">
        <v>5.7421854539576183</v>
      </c>
      <c r="AF47" s="55">
        <v>6.1766083383622936</v>
      </c>
      <c r="AG47" s="55">
        <v>6.3266282777708032</v>
      </c>
      <c r="AH47" s="55">
        <v>6.0711269567887092</v>
      </c>
      <c r="AI47" s="55">
        <v>6.319591505376505</v>
      </c>
      <c r="AJ47" s="55">
        <f t="shared" ca="1" si="29"/>
        <v>6.2017930186367485</v>
      </c>
      <c r="AK47" s="55">
        <f t="shared" ca="1" si="30"/>
        <v>1.6234183845982141E-2</v>
      </c>
      <c r="AL47" s="55">
        <f t="shared" ca="1" si="30"/>
        <v>6.6895164755879116E-2</v>
      </c>
      <c r="AM47" s="55">
        <f t="shared" ca="1" si="30"/>
        <v>0.13782531694144071</v>
      </c>
      <c r="AN47" s="55">
        <f t="shared" ca="1" si="30"/>
        <v>0.18930932760566596</v>
      </c>
      <c r="AO47" s="55">
        <f t="shared" ca="1" si="30"/>
        <v>0.19501871452472105</v>
      </c>
      <c r="AP47" s="55">
        <f t="shared" ca="1" si="30"/>
        <v>0.16072023284176029</v>
      </c>
      <c r="AQ47" s="55">
        <f t="shared" ca="1" si="40"/>
        <v>0.15488187839844078</v>
      </c>
      <c r="AR47" s="55">
        <f t="shared" ca="1" si="40"/>
        <v>0.12486862906663584</v>
      </c>
      <c r="AS47" s="55">
        <f t="shared" ca="1" si="40"/>
        <v>8.0537114793349823E-2</v>
      </c>
      <c r="AT47" s="55">
        <f t="shared" ca="1" si="40"/>
        <v>3.8958305066614338E-2</v>
      </c>
      <c r="AU47" s="55">
        <f t="shared" ca="1" si="40"/>
        <v>1.2563561843983625E-2</v>
      </c>
      <c r="AV47" s="55">
        <f t="shared" ca="1" si="40"/>
        <v>2.0257950896183396E-3</v>
      </c>
      <c r="AW47" s="55">
        <f t="shared" ca="1" si="31"/>
        <v>0.19501871452472105</v>
      </c>
      <c r="AX47" s="55">
        <f t="shared" ca="1" si="32"/>
        <v>0.15488187839844078</v>
      </c>
      <c r="AY47" s="54">
        <f t="shared" ca="1" si="33"/>
        <v>4</v>
      </c>
      <c r="AZ47" s="54">
        <f t="shared" ca="1" si="34"/>
        <v>5</v>
      </c>
      <c r="BA47" s="54" t="str">
        <f t="shared" si="35"/>
        <v>ChennaiyinBengaluru</v>
      </c>
      <c r="BB47" s="54">
        <f t="shared" si="19"/>
        <v>0</v>
      </c>
      <c r="BC47" s="54">
        <f t="shared" si="20"/>
        <v>3</v>
      </c>
      <c r="BD47" s="54">
        <f t="shared" si="21"/>
        <v>2</v>
      </c>
      <c r="BE47" s="54" t="str">
        <f t="shared" si="36"/>
        <v>HL</v>
      </c>
      <c r="BF47" s="55" t="str">
        <f t="shared" si="37"/>
        <v>AW</v>
      </c>
      <c r="BG47" s="86">
        <f t="shared" ca="1" si="38"/>
        <v>8.0051463020377508E-2</v>
      </c>
      <c r="BH47" s="86">
        <f t="shared" ca="1" si="39"/>
        <v>7.0733567545736106E-2</v>
      </c>
      <c r="BI47" s="87">
        <f t="shared" ca="1" si="22"/>
        <v>0.84921496943388641</v>
      </c>
    </row>
    <row r="48" spans="1:61" x14ac:dyDescent="0.2">
      <c r="A48" s="52">
        <f>'ISL 8'!B49</f>
        <v>44563</v>
      </c>
      <c r="B48" s="54">
        <f>'ISL 8'!C49</f>
        <v>46</v>
      </c>
      <c r="C48" s="54" t="str">
        <f>'ISL 8'!D49</f>
        <v>Kerala Blasters</v>
      </c>
      <c r="D48" s="54">
        <f>IF('ISL 8'!E49&lt;&gt;"",'ISL 8'!E49,INDEX($AK$2:$AP$2,,MATCH($AW48,AK48:AP48,0)))</f>
        <v>2</v>
      </c>
      <c r="E48" s="54" t="str">
        <f>'ISL 8'!G49</f>
        <v>Goa</v>
      </c>
      <c r="F48" s="54">
        <f>IF('ISL 8'!F49&lt;&gt;"",'ISL 8'!F49,INDEX($AQ$2:$AV$2,,MATCH($AX48,AQ48:AV48,0)))</f>
        <v>2</v>
      </c>
      <c r="G48" s="55">
        <f>VLOOKUP($C48,'ISL Total'!$D$5:$AH$15,25,0)</f>
        <v>1.7408543887928634</v>
      </c>
      <c r="H48" s="55">
        <f>VLOOKUP($C48,'ISL Total'!$D$5:$AH$15,28,0)</f>
        <v>1.6729569830909576</v>
      </c>
      <c r="I48" s="55">
        <f>VLOOKUP($E48,'ISL Total'!$D$5:$AH$15,26,0)</f>
        <v>2.0171275621206917</v>
      </c>
      <c r="J48" s="55">
        <f>VLOOKUP(E48,'ISL Total'!$D$5:$AH$15,29,0)</f>
        <v>2.2576929605011884</v>
      </c>
      <c r="K48" s="55">
        <f t="shared" si="26"/>
        <v>5.6274602865142338</v>
      </c>
      <c r="L48" s="55">
        <f t="shared" si="27"/>
        <v>4.520508584935536</v>
      </c>
      <c r="M48" s="55">
        <f t="shared" ca="1" si="11"/>
        <v>5.7583961444182332</v>
      </c>
      <c r="N48" s="55">
        <v>6.4144464237895926</v>
      </c>
      <c r="O48" s="55">
        <v>5.537634387106559</v>
      </c>
      <c r="P48" s="55">
        <v>5.4053854052336039</v>
      </c>
      <c r="Q48" s="55">
        <v>5.0387391928009357</v>
      </c>
      <c r="R48" s="55">
        <v>5.7755946376357885</v>
      </c>
      <c r="S48" s="55">
        <v>5.7124222727487277</v>
      </c>
      <c r="T48" s="55">
        <v>5.748978677985205</v>
      </c>
      <c r="U48" s="55">
        <v>5.3715819044183979</v>
      </c>
      <c r="V48" s="55">
        <v>5.6293115543788872</v>
      </c>
      <c r="W48" s="55">
        <v>5.8993148073719173</v>
      </c>
      <c r="X48" s="55">
        <f t="shared" ca="1" si="28"/>
        <v>5.6628914007170765</v>
      </c>
      <c r="Y48" s="55">
        <f t="shared" ca="1" si="13"/>
        <v>4.7349222797877362</v>
      </c>
      <c r="Z48" s="55">
        <v>4.6800841747082691</v>
      </c>
      <c r="AA48" s="55">
        <v>4.6391670825285658</v>
      </c>
      <c r="AB48" s="55">
        <v>4.276234121247743</v>
      </c>
      <c r="AC48" s="55">
        <v>4.293750336479178</v>
      </c>
      <c r="AD48" s="55">
        <v>4.669507811495861</v>
      </c>
      <c r="AE48" s="55">
        <v>4.675535631882946</v>
      </c>
      <c r="AF48" s="55">
        <v>4.6961155695240953</v>
      </c>
      <c r="AG48" s="55">
        <v>4.6271377748034208</v>
      </c>
      <c r="AH48" s="55">
        <v>4.7810698607237345</v>
      </c>
      <c r="AI48" s="55">
        <v>4.747256690134102</v>
      </c>
      <c r="AJ48" s="55">
        <f t="shared" ca="1" si="29"/>
        <v>4.620071030301423</v>
      </c>
      <c r="AK48" s="55">
        <f t="shared" ca="1" si="30"/>
        <v>3.4724620896003731E-3</v>
      </c>
      <c r="AL48" s="55">
        <f t="shared" ca="1" si="30"/>
        <v>1.9664175706514003E-2</v>
      </c>
      <c r="AM48" s="55">
        <f t="shared" ca="1" si="30"/>
        <v>5.5678045755303905E-2</v>
      </c>
      <c r="AN48" s="55">
        <f t="shared" ca="1" si="30"/>
        <v>0.1050995755054808</v>
      </c>
      <c r="AO48" s="55">
        <f t="shared" ca="1" si="30"/>
        <v>0.14879187058725057</v>
      </c>
      <c r="AP48" s="55">
        <f t="shared" ca="1" si="30"/>
        <v>0.16851844088902984</v>
      </c>
      <c r="AQ48" s="55">
        <f t="shared" ca="1" si="40"/>
        <v>0.17281867153488092</v>
      </c>
      <c r="AR48" s="55">
        <f t="shared" ca="1" si="40"/>
        <v>0.18703031879967214</v>
      </c>
      <c r="AS48" s="55">
        <f t="shared" ca="1" si="40"/>
        <v>0.16192852237379546</v>
      </c>
      <c r="AT48" s="55">
        <f t="shared" ca="1" si="40"/>
        <v>0.10514677457019375</v>
      </c>
      <c r="AU48" s="55">
        <f t="shared" ca="1" si="40"/>
        <v>4.5517384421396551E-2</v>
      </c>
      <c r="AV48" s="55">
        <f t="shared" ca="1" si="40"/>
        <v>9.8520962389677582E-3</v>
      </c>
      <c r="AW48" s="55">
        <f t="shared" ca="1" si="31"/>
        <v>0.16851844088902984</v>
      </c>
      <c r="AX48" s="55">
        <f t="shared" ca="1" si="32"/>
        <v>0.18703031879967214</v>
      </c>
      <c r="AY48" s="54">
        <f t="shared" ca="1" si="33"/>
        <v>5</v>
      </c>
      <c r="AZ48" s="54">
        <f t="shared" ca="1" si="34"/>
        <v>4</v>
      </c>
      <c r="BA48" s="54" t="str">
        <f t="shared" si="35"/>
        <v>Kerala BlastersGoa</v>
      </c>
      <c r="BB48" s="54">
        <f t="shared" si="19"/>
        <v>1</v>
      </c>
      <c r="BC48" s="54">
        <f t="shared" si="20"/>
        <v>1</v>
      </c>
      <c r="BD48" s="54">
        <f t="shared" si="21"/>
        <v>0</v>
      </c>
      <c r="BE48" s="54" t="str">
        <f t="shared" si="36"/>
        <v>HD</v>
      </c>
      <c r="BF48" s="55" t="str">
        <f t="shared" si="37"/>
        <v>AD</v>
      </c>
      <c r="BG48" s="86">
        <f t="shared" ca="1" si="38"/>
        <v>0.15397989865427314</v>
      </c>
      <c r="BH48" s="86">
        <f t="shared" ca="1" si="39"/>
        <v>8.0753982839218252E-2</v>
      </c>
      <c r="BI48" s="87">
        <f t="shared" ca="1" si="22"/>
        <v>0.76526611850650861</v>
      </c>
    </row>
    <row r="49" spans="1:61" x14ac:dyDescent="0.2">
      <c r="A49" s="52">
        <f>'ISL 8'!B50</f>
        <v>44563</v>
      </c>
      <c r="B49" s="54">
        <f>'ISL 8'!C50</f>
        <v>47</v>
      </c>
      <c r="C49" s="54" t="str">
        <f>'ISL 8'!D50</f>
        <v>Jamshedpur</v>
      </c>
      <c r="D49" s="54">
        <f>IF('ISL 8'!E50&lt;&gt;"",'ISL 8'!E50,INDEX($AK$2:$AP$2,,MATCH($AW49,AK49:AP49,0)))</f>
        <v>0</v>
      </c>
      <c r="E49" s="54" t="str">
        <f>'ISL 8'!G50</f>
        <v>Chennaiyin</v>
      </c>
      <c r="F49" s="54">
        <f>IF('ISL 8'!F50&lt;&gt;"",'ISL 8'!F50,INDEX($AQ$2:$AV$2,,MATCH($AX49,AQ49:AV49,0)))</f>
        <v>1</v>
      </c>
      <c r="G49" s="55">
        <f>VLOOKUP($C49,'ISL Total'!$D$5:$AH$15,25,0)</f>
        <v>1.6665097487371039</v>
      </c>
      <c r="H49" s="55">
        <f>VLOOKUP($C49,'ISL Total'!$D$5:$AH$15,28,0)</f>
        <v>1.5979083171113402</v>
      </c>
      <c r="I49" s="55">
        <f>VLOOKUP($E49,'ISL Total'!$D$5:$AH$15,26,0)</f>
        <v>1.4832889614107407</v>
      </c>
      <c r="J49" s="55">
        <f>VLOOKUP(E49,'ISL Total'!$D$5:$AH$15,29,0)</f>
        <v>1.6817905576540886</v>
      </c>
      <c r="K49" s="55">
        <f t="shared" si="26"/>
        <v>4.0129604692701202</v>
      </c>
      <c r="L49" s="55">
        <f t="shared" si="27"/>
        <v>3.175022319835147</v>
      </c>
      <c r="M49" s="55">
        <f t="shared" ca="1" si="11"/>
        <v>3.9054067365998502</v>
      </c>
      <c r="N49" s="55">
        <v>3.9589823529177548</v>
      </c>
      <c r="O49" s="55">
        <v>3.7331253353078457</v>
      </c>
      <c r="P49" s="55">
        <v>3.9387681163394874</v>
      </c>
      <c r="Q49" s="55">
        <v>4.2386914120433241</v>
      </c>
      <c r="R49" s="55">
        <v>4.3684617245155266</v>
      </c>
      <c r="S49" s="55">
        <v>3.7060252413599852</v>
      </c>
      <c r="T49" s="55">
        <v>3.700176633394507</v>
      </c>
      <c r="U49" s="55">
        <v>3.9406695328122003</v>
      </c>
      <c r="V49" s="55">
        <v>3.6113092265862332</v>
      </c>
      <c r="W49" s="55">
        <v>3.3544747692562633</v>
      </c>
      <c r="X49" s="55">
        <f t="shared" ca="1" si="28"/>
        <v>3.8596446437393621</v>
      </c>
      <c r="Y49" s="55">
        <f t="shared" ca="1" si="13"/>
        <v>2.5306831778282106</v>
      </c>
      <c r="Z49" s="55">
        <v>2.6802248574719778</v>
      </c>
      <c r="AA49" s="55">
        <v>3.3077420799073662</v>
      </c>
      <c r="AB49" s="55">
        <v>2.9431309190211334</v>
      </c>
      <c r="AC49" s="55">
        <v>3.3810101269241084</v>
      </c>
      <c r="AD49" s="55">
        <v>3.3898599534817704</v>
      </c>
      <c r="AE49" s="55">
        <v>3.6065244175573223</v>
      </c>
      <c r="AF49" s="55">
        <v>3.2218719146349133</v>
      </c>
      <c r="AG49" s="55">
        <v>3.4260397172718537</v>
      </c>
      <c r="AH49" s="55">
        <v>3.9173474454939763</v>
      </c>
      <c r="AI49" s="55">
        <v>3.2168298979586294</v>
      </c>
      <c r="AJ49" s="55">
        <f t="shared" ca="1" si="29"/>
        <v>3.2382967734137509</v>
      </c>
      <c r="AK49" s="55">
        <f t="shared" ca="1" si="30"/>
        <v>2.1075487498941819E-2</v>
      </c>
      <c r="AL49" s="55">
        <f t="shared" ca="1" si="30"/>
        <v>8.1343892439486684E-2</v>
      </c>
      <c r="AM49" s="55">
        <f t="shared" ca="1" si="30"/>
        <v>0.1569792593774878</v>
      </c>
      <c r="AN49" s="55">
        <f t="shared" ca="1" si="30"/>
        <v>0.20196138587816426</v>
      </c>
      <c r="AO49" s="55">
        <f t="shared" ca="1" si="30"/>
        <v>0.19487479531170881</v>
      </c>
      <c r="AP49" s="55">
        <f t="shared" ca="1" si="30"/>
        <v>0.15042949198492825</v>
      </c>
      <c r="AQ49" s="55">
        <f t="shared" ca="1" si="40"/>
        <v>0.11641999333660913</v>
      </c>
      <c r="AR49" s="55">
        <f t="shared" ca="1" si="40"/>
        <v>0.17975497843868307</v>
      </c>
      <c r="AS49" s="55">
        <f t="shared" ca="1" si="40"/>
        <v>0.22203644819024881</v>
      </c>
      <c r="AT49" s="55">
        <f t="shared" ca="1" si="40"/>
        <v>0.20569743639294269</v>
      </c>
      <c r="AU49" s="55">
        <f t="shared" ca="1" si="40"/>
        <v>0.12704050974061917</v>
      </c>
      <c r="AV49" s="55">
        <f t="shared" ca="1" si="40"/>
        <v>3.9230656925460072E-2</v>
      </c>
      <c r="AW49" s="55">
        <f t="shared" ca="1" si="31"/>
        <v>0.20196138587816426</v>
      </c>
      <c r="AX49" s="55">
        <f t="shared" ca="1" si="32"/>
        <v>0.22203644819024881</v>
      </c>
      <c r="AY49" s="54">
        <f t="shared" ca="1" si="33"/>
        <v>3</v>
      </c>
      <c r="AZ49" s="54">
        <f t="shared" ca="1" si="34"/>
        <v>3</v>
      </c>
      <c r="BA49" s="54" t="str">
        <f t="shared" si="35"/>
        <v>JamshedpurChennaiyin</v>
      </c>
      <c r="BB49" s="54">
        <f t="shared" si="19"/>
        <v>0</v>
      </c>
      <c r="BC49" s="54">
        <f t="shared" si="20"/>
        <v>3</v>
      </c>
      <c r="BD49" s="54">
        <f t="shared" si="21"/>
        <v>1</v>
      </c>
      <c r="BE49" s="54" t="str">
        <f t="shared" si="36"/>
        <v>HL</v>
      </c>
      <c r="BF49" s="55" t="str">
        <f t="shared" si="37"/>
        <v>AW</v>
      </c>
      <c r="BG49" s="86">
        <f t="shared" ca="1" si="38"/>
        <v>0.33656853447383644</v>
      </c>
      <c r="BH49" s="86">
        <f t="shared" ca="1" si="39"/>
        <v>0.14083650987620006</v>
      </c>
      <c r="BI49" s="87">
        <f t="shared" ca="1" si="22"/>
        <v>0.5225949556499635</v>
      </c>
    </row>
    <row r="50" spans="1:61" x14ac:dyDescent="0.2">
      <c r="A50" s="52">
        <f>'ISL 8'!B51</f>
        <v>44564</v>
      </c>
      <c r="B50" s="54">
        <f>'ISL 8'!C51</f>
        <v>48</v>
      </c>
      <c r="C50" s="54" t="str">
        <f>'ISL 8'!D51</f>
        <v>Odisha</v>
      </c>
      <c r="D50" s="54">
        <f>IF('ISL 8'!E51&lt;&gt;"",'ISL 8'!E51,INDEX($AK$2:$AP$2,,MATCH($AW50,AK50:AP50,0)))</f>
        <v>4</v>
      </c>
      <c r="E50" s="54" t="str">
        <f>'ISL 8'!G51</f>
        <v>Mumbai City</v>
      </c>
      <c r="F50" s="54">
        <f>IF('ISL 8'!F51&lt;&gt;"",'ISL 8'!F51,INDEX($AQ$2:$AV$2,,MATCH($AX50,AQ50:AV50,0)))</f>
        <v>2</v>
      </c>
      <c r="G50" s="55">
        <f>VLOOKUP($C50,'ISL Total'!$D$5:$AH$15,25,0)</f>
        <v>1.4571180555555554</v>
      </c>
      <c r="H50" s="55">
        <f>VLOOKUP($C50,'ISL Total'!$D$5:$AH$15,28,0)</f>
        <v>1.7565140845070424</v>
      </c>
      <c r="I50" s="55">
        <f>VLOOKUP($E50,'ISL Total'!$D$5:$AH$15,26,0)</f>
        <v>2.4343333715027291</v>
      </c>
      <c r="J50" s="55">
        <f>VLOOKUP(E50,'ISL Total'!$D$5:$AH$15,29,0)</f>
        <v>1.9843487615958779</v>
      </c>
      <c r="K50" s="55">
        <f t="shared" si="26"/>
        <v>4.1399763237579865</v>
      </c>
      <c r="L50" s="55">
        <f t="shared" si="27"/>
        <v>5.7279715192859539</v>
      </c>
      <c r="M50" s="55">
        <f t="shared" ca="1" si="11"/>
        <v>4.4400834723943632</v>
      </c>
      <c r="N50" s="55">
        <v>4.1862674723659365</v>
      </c>
      <c r="O50" s="55">
        <v>4.3174420772517781</v>
      </c>
      <c r="P50" s="55">
        <v>4.1479744409831962</v>
      </c>
      <c r="Q50" s="55">
        <v>4.3898476716917276</v>
      </c>
      <c r="R50" s="55">
        <v>4.0749549467052182</v>
      </c>
      <c r="S50" s="55">
        <v>4.2449750749847741</v>
      </c>
      <c r="T50" s="55">
        <v>4.1371391602429535</v>
      </c>
      <c r="U50" s="55">
        <v>4.7885424768556097</v>
      </c>
      <c r="V50" s="55">
        <v>4.2539453205582411</v>
      </c>
      <c r="W50" s="55">
        <v>4.5277177879335699</v>
      </c>
      <c r="X50" s="55">
        <f t="shared" ca="1" si="28"/>
        <v>4.3189899910879426</v>
      </c>
      <c r="Y50" s="55">
        <f t="shared" ca="1" si="13"/>
        <v>5.9513270189368814</v>
      </c>
      <c r="Z50" s="55">
        <v>5.7275748047080635</v>
      </c>
      <c r="AA50" s="55">
        <v>6.1261689310843082</v>
      </c>
      <c r="AB50" s="55">
        <v>5.5895617981133867</v>
      </c>
      <c r="AC50" s="55">
        <v>5.8355116096047022</v>
      </c>
      <c r="AD50" s="55">
        <v>5.4747596232139522</v>
      </c>
      <c r="AE50" s="55">
        <v>5.6830269333045083</v>
      </c>
      <c r="AF50" s="55">
        <v>5.7099438077804621</v>
      </c>
      <c r="AG50" s="55">
        <v>5.6614201194675111</v>
      </c>
      <c r="AH50" s="55">
        <v>5.577888711081961</v>
      </c>
      <c r="AI50" s="55">
        <v>5.8779147807608592</v>
      </c>
      <c r="AJ50" s="55">
        <f t="shared" ca="1" si="29"/>
        <v>5.7468271034596903</v>
      </c>
      <c r="AK50" s="55">
        <f t="shared" ca="1" si="30"/>
        <v>1.3313323329360733E-2</v>
      </c>
      <c r="AL50" s="55">
        <f t="shared" ca="1" si="30"/>
        <v>5.7500110207626604E-2</v>
      </c>
      <c r="AM50" s="55">
        <f t="shared" ca="1" si="30"/>
        <v>0.12417120023659652</v>
      </c>
      <c r="AN50" s="55">
        <f t="shared" ca="1" si="30"/>
        <v>0.17876472366774565</v>
      </c>
      <c r="AO50" s="55">
        <f t="shared" ca="1" si="30"/>
        <v>0.1930207630701489</v>
      </c>
      <c r="AP50" s="55">
        <f t="shared" ca="1" si="30"/>
        <v>0.16673094875442601</v>
      </c>
      <c r="AQ50" s="55">
        <f t="shared" ca="1" si="40"/>
        <v>0.16678005439487886</v>
      </c>
      <c r="AR50" s="55">
        <f t="shared" ca="1" si="40"/>
        <v>0.14510620503483948</v>
      </c>
      <c r="AS50" s="55">
        <f t="shared" ca="1" si="40"/>
        <v>0.10099917914529426</v>
      </c>
      <c r="AT50" s="55">
        <f t="shared" ca="1" si="40"/>
        <v>5.272431760709715E-2</v>
      </c>
      <c r="AU50" s="55">
        <f t="shared" ca="1" si="40"/>
        <v>1.8349018217498198E-2</v>
      </c>
      <c r="AV50" s="55">
        <f t="shared" ca="1" si="40"/>
        <v>3.1928954686059317E-3</v>
      </c>
      <c r="AW50" s="55">
        <f t="shared" ca="1" si="31"/>
        <v>0.1930207630701489</v>
      </c>
      <c r="AX50" s="55">
        <f t="shared" ca="1" si="32"/>
        <v>0.16678005439487886</v>
      </c>
      <c r="AY50" s="54">
        <f t="shared" ca="1" si="33"/>
        <v>4</v>
      </c>
      <c r="AZ50" s="54">
        <f t="shared" ca="1" si="34"/>
        <v>5</v>
      </c>
      <c r="BA50" s="54" t="str">
        <f t="shared" si="35"/>
        <v>OdishaMumbai City</v>
      </c>
      <c r="BB50" s="54">
        <f t="shared" si="19"/>
        <v>3</v>
      </c>
      <c r="BC50" s="54">
        <f t="shared" si="20"/>
        <v>0</v>
      </c>
      <c r="BD50" s="54">
        <f t="shared" si="21"/>
        <v>2</v>
      </c>
      <c r="BE50" s="54" t="str">
        <f t="shared" si="36"/>
        <v>HW</v>
      </c>
      <c r="BF50" s="55" t="str">
        <f t="shared" si="37"/>
        <v>AL</v>
      </c>
      <c r="BG50" s="86">
        <f t="shared" ca="1" si="38"/>
        <v>0.10338038609859555</v>
      </c>
      <c r="BH50" s="86">
        <f t="shared" ca="1" si="39"/>
        <v>8.1515417893555861E-2</v>
      </c>
      <c r="BI50" s="87">
        <f t="shared" ca="1" si="22"/>
        <v>0.81510419600784856</v>
      </c>
    </row>
    <row r="51" spans="1:61" x14ac:dyDescent="0.2">
      <c r="A51" s="52">
        <f>'ISL 8'!B52</f>
        <v>44565</v>
      </c>
      <c r="B51" s="54">
        <f>'ISL 8'!C52</f>
        <v>49</v>
      </c>
      <c r="C51" s="54" t="str">
        <f>'ISL 8'!D52</f>
        <v>Bengaluru</v>
      </c>
      <c r="D51" s="54">
        <f>IF('ISL 8'!E52&lt;&gt;"",'ISL 8'!E52,INDEX($AK$2:$AP$2,,MATCH($AW51,AK51:AP51,0)))</f>
        <v>1</v>
      </c>
      <c r="E51" s="54" t="str">
        <f>'ISL 8'!G52</f>
        <v>East Bengal</v>
      </c>
      <c r="F51" s="54">
        <f>IF('ISL 8'!F52&lt;&gt;"",'ISL 8'!F52,INDEX($AQ$2:$AV$2,,MATCH($AX51,AQ51:AV51,0)))</f>
        <v>1</v>
      </c>
      <c r="G51" s="55">
        <f>VLOOKUP($C51,'ISL Total'!$D$5:$AH$15,25,0)</f>
        <v>2.2973875558619734</v>
      </c>
      <c r="H51" s="55">
        <f>VLOOKUP($C51,'ISL Total'!$D$5:$AH$15,28,0)</f>
        <v>1.7201477155616627</v>
      </c>
      <c r="I51" s="55">
        <f>VLOOKUP($E51,'ISL Total'!$D$5:$AH$15,26,0)</f>
        <v>2.2664839306843771</v>
      </c>
      <c r="J51" s="55">
        <f>VLOOKUP(E51,'ISL Total'!$D$5:$AH$15,29,0)</f>
        <v>2.3205343227457229</v>
      </c>
      <c r="K51" s="55">
        <f t="shared" si="26"/>
        <v>7.6332128719918249</v>
      </c>
      <c r="L51" s="55">
        <f t="shared" si="27"/>
        <v>5.2226094223634751</v>
      </c>
      <c r="M51" s="55">
        <f t="shared" ca="1" si="11"/>
        <v>7.588346049106609</v>
      </c>
      <c r="N51" s="55">
        <v>7.5985334434592451</v>
      </c>
      <c r="O51" s="55">
        <v>7.0153634730659231</v>
      </c>
      <c r="P51" s="55">
        <v>7.9930371420378963</v>
      </c>
      <c r="Q51" s="55">
        <v>7.9145205092918083</v>
      </c>
      <c r="R51" s="55">
        <v>7.717577986980614</v>
      </c>
      <c r="S51" s="55">
        <v>7.4497432577200762</v>
      </c>
      <c r="T51" s="55">
        <v>6.9890222715392607</v>
      </c>
      <c r="U51" s="55">
        <v>7.9232784498595228</v>
      </c>
      <c r="V51" s="55">
        <v>7.6082285771996405</v>
      </c>
      <c r="W51" s="55">
        <v>7.2642817055257929</v>
      </c>
      <c r="X51" s="55">
        <f t="shared" ca="1" si="28"/>
        <v>7.5510848059805795</v>
      </c>
      <c r="Y51" s="55">
        <f t="shared" ca="1" si="13"/>
        <v>5.4129048994247047</v>
      </c>
      <c r="Z51" s="55">
        <v>5.4393944770943818</v>
      </c>
      <c r="AA51" s="55">
        <v>5.251932278685171</v>
      </c>
      <c r="AB51" s="55">
        <v>5.3054271856032829</v>
      </c>
      <c r="AC51" s="55">
        <v>5.4859281129145563</v>
      </c>
      <c r="AD51" s="55">
        <v>5.665654492343311</v>
      </c>
      <c r="AE51" s="55">
        <v>5.4247296635117781</v>
      </c>
      <c r="AF51" s="55">
        <v>5.2125604566079558</v>
      </c>
      <c r="AG51" s="55">
        <v>5.3017890660453073</v>
      </c>
      <c r="AH51" s="55">
        <v>5.2830225144488177</v>
      </c>
      <c r="AI51" s="55">
        <v>5.2362394496606539</v>
      </c>
      <c r="AJ51" s="55">
        <f t="shared" ca="1" si="29"/>
        <v>5.3654165996672649</v>
      </c>
      <c r="AK51" s="55">
        <f t="shared" ca="1" si="30"/>
        <v>5.255397091560711E-4</v>
      </c>
      <c r="AL51" s="55">
        <f t="shared" ca="1" si="30"/>
        <v>3.9683949127478609E-3</v>
      </c>
      <c r="AM51" s="55">
        <f t="shared" ca="1" si="30"/>
        <v>1.4982843264890505E-2</v>
      </c>
      <c r="AN51" s="55">
        <f t="shared" ca="1" si="30"/>
        <v>3.7712240042634376E-2</v>
      </c>
      <c r="AO51" s="55">
        <f t="shared" ca="1" si="30"/>
        <v>7.1192080696357199E-2</v>
      </c>
      <c r="AP51" s="55">
        <f t="shared" ca="1" si="30"/>
        <v>0.1075154877704812</v>
      </c>
      <c r="AQ51" s="55">
        <f t="shared" ca="1" si="40"/>
        <v>0.17324678116881062</v>
      </c>
      <c r="AR51" s="55">
        <f t="shared" ca="1" si="40"/>
        <v>0.16144765084928772</v>
      </c>
      <c r="AS51" s="55">
        <f t="shared" ca="1" si="40"/>
        <v>0.12036168886442099</v>
      </c>
      <c r="AT51" s="55">
        <f t="shared" ca="1" si="40"/>
        <v>6.7298607645053229E-2</v>
      </c>
      <c r="AU51" s="55">
        <f t="shared" ca="1" si="40"/>
        <v>2.5086069793434768E-2</v>
      </c>
      <c r="AV51" s="55">
        <f t="shared" ca="1" si="40"/>
        <v>4.6755120180212049E-3</v>
      </c>
      <c r="AW51" s="55">
        <f t="shared" ca="1" si="31"/>
        <v>0.1075154877704812</v>
      </c>
      <c r="AX51" s="55">
        <f t="shared" ca="1" si="32"/>
        <v>0.17324678116881062</v>
      </c>
      <c r="AY51" s="54">
        <f t="shared" ca="1" si="33"/>
        <v>5</v>
      </c>
      <c r="AZ51" s="54">
        <f t="shared" ca="1" si="34"/>
        <v>5</v>
      </c>
      <c r="BA51" s="54" t="str">
        <f t="shared" si="35"/>
        <v>BengaluruEast Bengal</v>
      </c>
      <c r="BB51" s="54">
        <f t="shared" si="19"/>
        <v>1</v>
      </c>
      <c r="BC51" s="54">
        <f t="shared" si="20"/>
        <v>1</v>
      </c>
      <c r="BD51" s="54">
        <f t="shared" si="21"/>
        <v>0</v>
      </c>
      <c r="BE51" s="54" t="str">
        <f t="shared" si="36"/>
        <v>HD</v>
      </c>
      <c r="BF51" s="55" t="str">
        <f t="shared" si="37"/>
        <v>AD</v>
      </c>
      <c r="BG51" s="86">
        <f t="shared" ca="1" si="38"/>
        <v>6.0337882693756263E-2</v>
      </c>
      <c r="BH51" s="86">
        <f t="shared" ca="1" si="39"/>
        <v>3.576994836118861E-2</v>
      </c>
      <c r="BI51" s="87">
        <f t="shared" ca="1" si="22"/>
        <v>0.90389216894505509</v>
      </c>
    </row>
    <row r="52" spans="1:61" x14ac:dyDescent="0.2">
      <c r="A52" s="52">
        <f>'ISL 8'!B53</f>
        <v>44566</v>
      </c>
      <c r="B52" s="54">
        <f>'ISL 8'!C53</f>
        <v>50</v>
      </c>
      <c r="C52" s="54" t="str">
        <f>'ISL 8'!D53</f>
        <v>ATK-MB</v>
      </c>
      <c r="D52" s="54">
        <f>IF('ISL 8'!E53&lt;&gt;"",'ISL 8'!E53,INDEX($AK$2:$AP$2,,MATCH($AW52,AK52:AP52,0)))</f>
        <v>2</v>
      </c>
      <c r="E52" s="54" t="str">
        <f>'ISL 8'!G53</f>
        <v>Hyderabad</v>
      </c>
      <c r="F52" s="54">
        <f>IF('ISL 8'!F53&lt;&gt;"",'ISL 8'!F53,INDEX($AQ$2:$AV$2,,MATCH($AX52,AQ52:AV52,0)))</f>
        <v>2</v>
      </c>
      <c r="G52" s="55">
        <f>VLOOKUP($C52,'ISL Total'!$D$5:$AH$15,25,0)</f>
        <v>2.0695986245708529</v>
      </c>
      <c r="H52" s="55">
        <f>VLOOKUP($C52,'ISL Total'!$D$5:$AH$15,28,0)</f>
        <v>1.8323600137409826</v>
      </c>
      <c r="I52" s="55">
        <f>VLOOKUP($E52,'ISL Total'!$D$5:$AH$15,26,0)</f>
        <v>2.2018340394671556</v>
      </c>
      <c r="J52" s="55">
        <f>VLOOKUP(E52,'ISL Total'!$D$5:$AH$15,29,0)</f>
        <v>1.4450563501928062</v>
      </c>
      <c r="K52" s="55">
        <f t="shared" si="26"/>
        <v>4.2820922893673101</v>
      </c>
      <c r="L52" s="55">
        <f t="shared" si="27"/>
        <v>5.4046123342376617</v>
      </c>
      <c r="M52" s="55">
        <f t="shared" ca="1" si="11"/>
        <v>3.8911625523049018</v>
      </c>
      <c r="N52" s="55">
        <v>4.159106790459818</v>
      </c>
      <c r="O52" s="55">
        <v>4.2154551211213533</v>
      </c>
      <c r="P52" s="55">
        <v>4.5708049366686092</v>
      </c>
      <c r="Q52" s="55">
        <v>4.5813310850978537</v>
      </c>
      <c r="R52" s="55">
        <v>4.0778443742922894</v>
      </c>
      <c r="S52" s="55">
        <v>4.9011143940386503</v>
      </c>
      <c r="T52" s="55">
        <v>3.9651171334276727</v>
      </c>
      <c r="U52" s="55">
        <v>4.0899901514271972</v>
      </c>
      <c r="V52" s="55">
        <v>3.7977901838739432</v>
      </c>
      <c r="W52" s="55">
        <v>4.1963874836334201</v>
      </c>
      <c r="X52" s="55">
        <f t="shared" ca="1" si="28"/>
        <v>4.2223731096677914</v>
      </c>
      <c r="Y52" s="55">
        <f t="shared" ca="1" si="13"/>
        <v>5.1900224231384415</v>
      </c>
      <c r="Z52" s="55">
        <v>5.0990360315382173</v>
      </c>
      <c r="AA52" s="55">
        <v>4.7740212792009702</v>
      </c>
      <c r="AB52" s="55">
        <v>5.4821407203091308</v>
      </c>
      <c r="AC52" s="55">
        <v>5.0700564876089764</v>
      </c>
      <c r="AD52" s="55">
        <v>5.2672040099253667</v>
      </c>
      <c r="AE52" s="55">
        <v>5.1075640397683824</v>
      </c>
      <c r="AF52" s="55">
        <v>5.2502611140968494</v>
      </c>
      <c r="AG52" s="55">
        <v>5.2637897965450913</v>
      </c>
      <c r="AH52" s="55">
        <v>5.598365018153233</v>
      </c>
      <c r="AI52" s="55">
        <v>5.56951594739781</v>
      </c>
      <c r="AJ52" s="55">
        <f t="shared" ca="1" si="29"/>
        <v>5.2429069879711339</v>
      </c>
      <c r="AK52" s="55">
        <f t="shared" ca="1" si="30"/>
        <v>1.4663804365610078E-2</v>
      </c>
      <c r="AL52" s="55">
        <f t="shared" ca="1" si="30"/>
        <v>6.1916053238781153E-2</v>
      </c>
      <c r="AM52" s="55">
        <f t="shared" ca="1" si="30"/>
        <v>0.13071633912609448</v>
      </c>
      <c r="AN52" s="55">
        <f t="shared" ca="1" si="30"/>
        <v>0.18397771844007904</v>
      </c>
      <c r="AO52" s="55">
        <f t="shared" ca="1" si="30"/>
        <v>0.1942056427798555</v>
      </c>
      <c r="AP52" s="55">
        <f t="shared" ca="1" si="30"/>
        <v>0.16400173676388213</v>
      </c>
      <c r="AQ52" s="55">
        <f t="shared" ca="1" si="40"/>
        <v>0.17446726208985414</v>
      </c>
      <c r="AR52" s="55">
        <f t="shared" ca="1" si="40"/>
        <v>0.16638409043888872</v>
      </c>
      <c r="AS52" s="55">
        <f t="shared" ca="1" si="40"/>
        <v>0.12694033353681514</v>
      </c>
      <c r="AT52" s="55">
        <f t="shared" ca="1" si="40"/>
        <v>7.2635467591579989E-2</v>
      </c>
      <c r="AU52" s="55">
        <f t="shared" ca="1" si="40"/>
        <v>2.7708089332207659E-2</v>
      </c>
      <c r="AV52" s="55">
        <f t="shared" ca="1" si="40"/>
        <v>5.2848714264393153E-3</v>
      </c>
      <c r="AW52" s="55">
        <f t="shared" ca="1" si="31"/>
        <v>0.1942056427798555</v>
      </c>
      <c r="AX52" s="55">
        <f t="shared" ca="1" si="32"/>
        <v>0.17446726208985414</v>
      </c>
      <c r="AY52" s="54">
        <f t="shared" ca="1" si="33"/>
        <v>4</v>
      </c>
      <c r="AZ52" s="54">
        <f t="shared" ca="1" si="34"/>
        <v>5</v>
      </c>
      <c r="BA52" s="54" t="str">
        <f t="shared" si="35"/>
        <v>ATK-MBHyderabad</v>
      </c>
      <c r="BB52" s="54">
        <f t="shared" si="19"/>
        <v>1</v>
      </c>
      <c r="BC52" s="54">
        <f t="shared" si="20"/>
        <v>1</v>
      </c>
      <c r="BD52" s="54">
        <f t="shared" si="21"/>
        <v>0</v>
      </c>
      <c r="BE52" s="54" t="str">
        <f t="shared" si="36"/>
        <v>HD</v>
      </c>
      <c r="BF52" s="55" t="str">
        <f t="shared" si="37"/>
        <v>AD</v>
      </c>
      <c r="BG52" s="86">
        <f t="shared" ca="1" si="38"/>
        <v>0.1346683412393323</v>
      </c>
      <c r="BH52" s="86">
        <f t="shared" ca="1" si="39"/>
        <v>9.5567570434543364E-2</v>
      </c>
      <c r="BI52" s="87">
        <f t="shared" ca="1" si="22"/>
        <v>0.76976408832612431</v>
      </c>
    </row>
    <row r="53" spans="1:61" x14ac:dyDescent="0.2">
      <c r="A53" s="52">
        <f>'ISL 8'!B54</f>
        <v>44567</v>
      </c>
      <c r="B53" s="54">
        <f>'ISL 8'!C54</f>
        <v>51</v>
      </c>
      <c r="C53" s="54" t="str">
        <f>'ISL 8'!D54</f>
        <v>Jamshedpur</v>
      </c>
      <c r="D53" s="54">
        <f>IF('ISL 8'!E54&lt;&gt;"",'ISL 8'!E54,INDEX($AK$2:$AP$2,,MATCH($AW53,AK53:AP53,0)))</f>
        <v>3</v>
      </c>
      <c r="E53" s="54" t="str">
        <f>'ISL 8'!G54</f>
        <v>NorthEast United</v>
      </c>
      <c r="F53" s="54">
        <f>IF('ISL 8'!F54&lt;&gt;"",'ISL 8'!F54,INDEX($AQ$2:$AV$2,,MATCH($AX53,AQ53:AV53,0)))</f>
        <v>2</v>
      </c>
      <c r="G53" s="55">
        <f>VLOOKUP($C53,'ISL Total'!$D$5:$AH$15,25,0)</f>
        <v>1.6665097487371039</v>
      </c>
      <c r="H53" s="55">
        <f>VLOOKUP($C53,'ISL Total'!$D$5:$AH$15,28,0)</f>
        <v>1.5979083171113402</v>
      </c>
      <c r="I53" s="55">
        <f>VLOOKUP($E53,'ISL Total'!$D$5:$AH$15,26,0)</f>
        <v>1.8614679949616395</v>
      </c>
      <c r="J53" s="55">
        <f>VLOOKUP(E53,'ISL Total'!$D$5:$AH$15,29,0)</f>
        <v>2.7778362426875027</v>
      </c>
      <c r="K53" s="55">
        <f t="shared" si="26"/>
        <v>6.6282611596773977</v>
      </c>
      <c r="L53" s="55">
        <f t="shared" si="27"/>
        <v>3.984525325423343</v>
      </c>
      <c r="M53" s="55">
        <f t="shared" ca="1" si="11"/>
        <v>6.8939864560991122</v>
      </c>
      <c r="N53" s="55">
        <v>6.563482131561007</v>
      </c>
      <c r="O53" s="55">
        <v>7.0979520943038228</v>
      </c>
      <c r="P53" s="55">
        <v>6.6228062824568417</v>
      </c>
      <c r="Q53" s="55">
        <v>7.090288456972357</v>
      </c>
      <c r="R53" s="55">
        <v>6.876162304372218</v>
      </c>
      <c r="S53" s="55">
        <v>6.831130624958015</v>
      </c>
      <c r="T53" s="55">
        <v>6.5316120921754823</v>
      </c>
      <c r="U53" s="55">
        <v>6.551653719271461</v>
      </c>
      <c r="V53" s="55">
        <v>6.4273389176699451</v>
      </c>
      <c r="W53" s="55">
        <v>7.2094225651948669</v>
      </c>
      <c r="X53" s="55">
        <f t="shared" ca="1" si="28"/>
        <v>6.7905305131850131</v>
      </c>
      <c r="Y53" s="55">
        <f t="shared" ca="1" si="13"/>
        <v>3.9423508915448902</v>
      </c>
      <c r="Z53" s="55">
        <v>3.8648856449681905</v>
      </c>
      <c r="AA53" s="55">
        <v>4.3829076162364746</v>
      </c>
      <c r="AB53" s="55">
        <v>3.8325931034138021</v>
      </c>
      <c r="AC53" s="55">
        <v>4.2013089531730836</v>
      </c>
      <c r="AD53" s="55">
        <v>4.1265702979102352</v>
      </c>
      <c r="AE53" s="55">
        <v>3.9268948218625583</v>
      </c>
      <c r="AF53" s="55">
        <v>3.9279548901115717</v>
      </c>
      <c r="AG53" s="55">
        <v>3.8659840847595901</v>
      </c>
      <c r="AH53" s="55">
        <v>4.1209480512721095</v>
      </c>
      <c r="AI53" s="55">
        <v>4.0290067195256398</v>
      </c>
      <c r="AJ53" s="55">
        <f t="shared" ca="1" si="29"/>
        <v>4.0201277340707398</v>
      </c>
      <c r="AK53" s="55">
        <f t="shared" ca="1" si="30"/>
        <v>1.1243721216874091E-3</v>
      </c>
      <c r="AL53" s="55">
        <f t="shared" ca="1" si="30"/>
        <v>7.6350832004929235E-3</v>
      </c>
      <c r="AM53" s="55">
        <f t="shared" ca="1" si="30"/>
        <v>2.5923132721826742E-2</v>
      </c>
      <c r="AN53" s="55">
        <f t="shared" ca="1" si="30"/>
        <v>5.8677274581636449E-2</v>
      </c>
      <c r="AO53" s="55">
        <f t="shared" ca="1" si="30"/>
        <v>9.9612455869284439E-2</v>
      </c>
      <c r="AP53" s="55">
        <f t="shared" ca="1" si="30"/>
        <v>0.13528428421473429</v>
      </c>
      <c r="AQ53" s="55">
        <f t="shared" ca="1" si="40"/>
        <v>0.15707198225591185</v>
      </c>
      <c r="AR53" s="55">
        <f t="shared" ca="1" si="40"/>
        <v>0.19535695461206454</v>
      </c>
      <c r="AS53" s="55">
        <f t="shared" ca="1" si="40"/>
        <v>0.19437885314579104</v>
      </c>
      <c r="AT53" s="55">
        <f t="shared" ca="1" si="40"/>
        <v>0.14505423658439209</v>
      </c>
      <c r="AU53" s="55">
        <f t="shared" ca="1" si="40"/>
        <v>7.2163993872658191E-2</v>
      </c>
      <c r="AV53" s="55">
        <f t="shared" ca="1" si="40"/>
        <v>1.7950671880663273E-2</v>
      </c>
      <c r="AW53" s="55">
        <f t="shared" ca="1" si="31"/>
        <v>0.13528428421473429</v>
      </c>
      <c r="AX53" s="55">
        <f t="shared" ca="1" si="32"/>
        <v>0.19535695461206454</v>
      </c>
      <c r="AY53" s="54">
        <f t="shared" ca="1" si="33"/>
        <v>5</v>
      </c>
      <c r="AZ53" s="54">
        <f t="shared" ca="1" si="34"/>
        <v>4</v>
      </c>
      <c r="BA53" s="54" t="str">
        <f t="shared" si="35"/>
        <v>JamshedpurNorthEast United</v>
      </c>
      <c r="BB53" s="54">
        <f t="shared" si="19"/>
        <v>3</v>
      </c>
      <c r="BC53" s="54">
        <f t="shared" si="20"/>
        <v>0</v>
      </c>
      <c r="BD53" s="54">
        <f t="shared" si="21"/>
        <v>1</v>
      </c>
      <c r="BE53" s="54" t="str">
        <f t="shared" si="36"/>
        <v>HW</v>
      </c>
      <c r="BF53" s="55" t="str">
        <f t="shared" si="37"/>
        <v>AL</v>
      </c>
      <c r="BG53" s="86">
        <f t="shared" ca="1" si="38"/>
        <v>0.14360027281389795</v>
      </c>
      <c r="BH53" s="86">
        <f t="shared" ca="1" si="39"/>
        <v>5.6446399607797959E-2</v>
      </c>
      <c r="BI53" s="87">
        <f t="shared" ca="1" si="22"/>
        <v>0.79995332757830406</v>
      </c>
    </row>
    <row r="54" spans="1:61" x14ac:dyDescent="0.2">
      <c r="A54" s="52">
        <f>'ISL 8'!B55</f>
        <v>44568</v>
      </c>
      <c r="B54" s="54">
        <f>'ISL 8'!C55</f>
        <v>52</v>
      </c>
      <c r="C54" s="54" t="str">
        <f>'ISL 8'!D55</f>
        <v>East Bengal</v>
      </c>
      <c r="D54" s="54">
        <f>IF('ISL 8'!E55&lt;&gt;"",'ISL 8'!E55,INDEX($AK$2:$AP$2,,MATCH($AW54,AK54:AP54,0)))</f>
        <v>0</v>
      </c>
      <c r="E54" s="54" t="str">
        <f>'ISL 8'!G55</f>
        <v>Mumbai City</v>
      </c>
      <c r="F54" s="54">
        <f>IF('ISL 8'!F55&lt;&gt;"",'ISL 8'!F55,INDEX($AQ$2:$AV$2,,MATCH($AX54,AQ54:AV54,0)))</f>
        <v>0</v>
      </c>
      <c r="G54" s="55">
        <f>VLOOKUP($C54,'ISL Total'!$D$5:$AH$15,25,0)</f>
        <v>2.2983657473042753</v>
      </c>
      <c r="H54" s="55">
        <f>VLOOKUP($C54,'ISL Total'!$D$5:$AH$15,28,0)</f>
        <v>2.2682850490476736</v>
      </c>
      <c r="I54" s="55">
        <f>VLOOKUP($E54,'ISL Total'!$D$5:$AH$15,26,0)</f>
        <v>2.4343333715027291</v>
      </c>
      <c r="J54" s="55">
        <f>VLOOKUP(E54,'ISL Total'!$D$5:$AH$15,29,0)</f>
        <v>1.9843487615958779</v>
      </c>
      <c r="K54" s="55">
        <f t="shared" si="26"/>
        <v>6.5301364847532399</v>
      </c>
      <c r="L54" s="55">
        <f t="shared" si="27"/>
        <v>7.3968505423134996</v>
      </c>
      <c r="M54" s="55">
        <f t="shared" ca="1" si="11"/>
        <v>6.540905898399501</v>
      </c>
      <c r="N54" s="55">
        <v>6.7382765498424062</v>
      </c>
      <c r="O54" s="55">
        <v>6.4005910676963778</v>
      </c>
      <c r="P54" s="55">
        <v>6.9256364377172357</v>
      </c>
      <c r="Q54" s="55">
        <v>6.3738243055996264</v>
      </c>
      <c r="R54" s="55">
        <v>6.0469468671377387</v>
      </c>
      <c r="S54" s="55">
        <v>6.9014300914875895</v>
      </c>
      <c r="T54" s="55">
        <v>6.1959189328481168</v>
      </c>
      <c r="U54" s="55">
        <v>6.483107947409299</v>
      </c>
      <c r="V54" s="55">
        <v>6.3476944014535679</v>
      </c>
      <c r="W54" s="55">
        <v>6.4859535883284511</v>
      </c>
      <c r="X54" s="55">
        <f t="shared" ca="1" si="28"/>
        <v>6.4945714625381754</v>
      </c>
      <c r="Y54" s="55">
        <f t="shared" ca="1" si="13"/>
        <v>7.3925961868424244</v>
      </c>
      <c r="Z54" s="55">
        <v>7.1570667003963298</v>
      </c>
      <c r="AA54" s="55">
        <v>7.3601619526763837</v>
      </c>
      <c r="AB54" s="55">
        <v>7.3770057671075309</v>
      </c>
      <c r="AC54" s="55">
        <v>6.866454566291984</v>
      </c>
      <c r="AD54" s="55">
        <v>7.1430247932286308</v>
      </c>
      <c r="AE54" s="55">
        <v>7.1840264222730852</v>
      </c>
      <c r="AF54" s="55">
        <v>7.2485832092106408</v>
      </c>
      <c r="AG54" s="55">
        <v>7.2731780059796263</v>
      </c>
      <c r="AH54" s="55">
        <v>7.7911253669179636</v>
      </c>
      <c r="AI54" s="55">
        <v>7.289648287535119</v>
      </c>
      <c r="AJ54" s="55">
        <f t="shared" ca="1" si="29"/>
        <v>7.2802610234963376</v>
      </c>
      <c r="AK54" s="55">
        <f t="shared" ca="1" si="30"/>
        <v>1.511622861536854E-3</v>
      </c>
      <c r="AL54" s="55">
        <f t="shared" ca="1" si="30"/>
        <v>9.8173426986575482E-3</v>
      </c>
      <c r="AM54" s="55">
        <f t="shared" ca="1" si="30"/>
        <v>3.1879716864329423E-2</v>
      </c>
      <c r="AN54" s="55">
        <f t="shared" ca="1" si="30"/>
        <v>6.9015033126956948E-2</v>
      </c>
      <c r="AO54" s="55">
        <f t="shared" ca="1" si="30"/>
        <v>0.11205576615811534</v>
      </c>
      <c r="AP54" s="55">
        <f t="shared" ca="1" si="30"/>
        <v>0.14555083622066942</v>
      </c>
      <c r="AQ54" s="55">
        <f t="shared" ca="1" si="40"/>
        <v>0.11742925825988534</v>
      </c>
      <c r="AR54" s="55">
        <f t="shared" ca="1" si="40"/>
        <v>8.0649071428135516E-2</v>
      </c>
      <c r="AS54" s="55">
        <f t="shared" ca="1" si="40"/>
        <v>4.4311087840311431E-2</v>
      </c>
      <c r="AT54" s="55">
        <f t="shared" ca="1" si="40"/>
        <v>1.8259408981615509E-2</v>
      </c>
      <c r="AU54" s="55">
        <f t="shared" ca="1" si="40"/>
        <v>5.0161412956719626E-3</v>
      </c>
      <c r="AV54" s="55">
        <f t="shared" ca="1" si="40"/>
        <v>6.8900569354352157E-4</v>
      </c>
      <c r="AW54" s="55">
        <f t="shared" ca="1" si="31"/>
        <v>0.14555083622066942</v>
      </c>
      <c r="AX54" s="55">
        <f t="shared" ca="1" si="32"/>
        <v>0.11742925825988534</v>
      </c>
      <c r="AY54" s="54">
        <f t="shared" ca="1" si="33"/>
        <v>5</v>
      </c>
      <c r="AZ54" s="54">
        <f t="shared" ca="1" si="34"/>
        <v>5</v>
      </c>
      <c r="BA54" s="54" t="str">
        <f t="shared" si="35"/>
        <v>East BengalMumbai City</v>
      </c>
      <c r="BB54" s="54">
        <f t="shared" si="19"/>
        <v>1</v>
      </c>
      <c r="BC54" s="54">
        <f t="shared" si="20"/>
        <v>1</v>
      </c>
      <c r="BD54" s="54">
        <f t="shared" si="21"/>
        <v>0</v>
      </c>
      <c r="BE54" s="54" t="str">
        <f t="shared" si="36"/>
        <v>HD</v>
      </c>
      <c r="BF54" s="55" t="str">
        <f t="shared" si="37"/>
        <v>AD</v>
      </c>
      <c r="BG54" s="86">
        <f t="shared" ca="1" si="38"/>
        <v>3.1169353714098253E-2</v>
      </c>
      <c r="BH54" s="86">
        <f t="shared" ca="1" si="39"/>
        <v>2.9819642903836631E-2</v>
      </c>
      <c r="BI54" s="87">
        <f t="shared" ca="1" si="22"/>
        <v>0.93901100338206511</v>
      </c>
    </row>
    <row r="55" spans="1:61" x14ac:dyDescent="0.2">
      <c r="A55" s="52">
        <f>'ISL 8'!B56</f>
        <v>44569</v>
      </c>
      <c r="B55" s="54">
        <f>'ISL 8'!C56</f>
        <v>53</v>
      </c>
      <c r="C55" s="54" t="str">
        <f>'ISL 8'!D56</f>
        <v>ATK-MB</v>
      </c>
      <c r="D55" s="54">
        <f ca="1">IF('ISL 8'!E56&lt;&gt;"",'ISL 8'!E56,INDEX($AK$2:$AP$2,,MATCH($AW55,AK55:AP55,0)))</f>
        <v>4</v>
      </c>
      <c r="E55" s="54" t="str">
        <f>'ISL 8'!G56</f>
        <v>Odisha</v>
      </c>
      <c r="F55" s="54">
        <f ca="1">IF('ISL 8'!F56&lt;&gt;"",'ISL 8'!F56,INDEX($AQ$2:$AV$2,,MATCH($AX55,AQ55:AV55,0)))</f>
        <v>1</v>
      </c>
      <c r="G55" s="55">
        <f>VLOOKUP($C55,'ISL Total'!$D$5:$AH$15,25,0)</f>
        <v>2.0695986245708529</v>
      </c>
      <c r="H55" s="55">
        <f>VLOOKUP($C55,'ISL Total'!$D$5:$AH$15,28,0)</f>
        <v>1.8323600137409826</v>
      </c>
      <c r="I55" s="55">
        <f>VLOOKUP($E55,'ISL Total'!$D$5:$AH$15,26,0)</f>
        <v>0.79788732394366213</v>
      </c>
      <c r="J55" s="55">
        <f>VLOOKUP(E55,'ISL Total'!$D$5:$AH$15,29,0)</f>
        <v>1.3928240740740743</v>
      </c>
      <c r="K55" s="55">
        <f t="shared" si="26"/>
        <v>4.1273139467827571</v>
      </c>
      <c r="L55" s="55">
        <f t="shared" si="27"/>
        <v>1.9584907831479288</v>
      </c>
      <c r="M55" s="55">
        <f t="shared" ca="1" si="11"/>
        <v>3.5944063214883042</v>
      </c>
      <c r="N55" s="55">
        <v>4.4742034466897165</v>
      </c>
      <c r="O55" s="55">
        <v>4.1162383295955651</v>
      </c>
      <c r="P55" s="55">
        <v>4.1933977447396451</v>
      </c>
      <c r="Q55" s="55">
        <v>3.8181162086123512</v>
      </c>
      <c r="R55" s="55">
        <v>4.5597514490402871</v>
      </c>
      <c r="S55" s="55">
        <v>4.2144018785615529</v>
      </c>
      <c r="T55" s="55">
        <v>4.1609961014615706</v>
      </c>
      <c r="U55" s="55">
        <v>4.4225041456351599</v>
      </c>
      <c r="V55" s="55">
        <v>4.0343365619214993</v>
      </c>
      <c r="W55" s="55">
        <v>4.5571295253736226</v>
      </c>
      <c r="X55" s="55">
        <f t="shared" ca="1" si="28"/>
        <v>4.1950437921017523</v>
      </c>
      <c r="Y55" s="55">
        <f t="shared" ca="1" si="13"/>
        <v>1.796435220176976</v>
      </c>
      <c r="Z55" s="55">
        <v>1.7567557354874292</v>
      </c>
      <c r="AA55" s="55">
        <v>2.0745969481666027</v>
      </c>
      <c r="AB55" s="55">
        <v>1.8154459645689542</v>
      </c>
      <c r="AC55" s="55">
        <v>1.5648685389842334</v>
      </c>
      <c r="AD55" s="55">
        <v>1.887665258299156</v>
      </c>
      <c r="AE55" s="55">
        <v>2.0923902459240153</v>
      </c>
      <c r="AF55" s="55">
        <v>2.2269549507180795</v>
      </c>
      <c r="AG55" s="55">
        <v>1.8827343340810743</v>
      </c>
      <c r="AH55" s="55">
        <v>1.934646605562405</v>
      </c>
      <c r="AI55" s="55">
        <v>2.0691181297530297</v>
      </c>
      <c r="AJ55" s="55">
        <f t="shared" ca="1" si="29"/>
        <v>1.9183283574292687</v>
      </c>
      <c r="AK55" s="55">
        <f t="shared" ca="1" si="30"/>
        <v>1.5070082497052453E-2</v>
      </c>
      <c r="AL55" s="55">
        <f t="shared" ca="1" si="30"/>
        <v>6.321965602572116E-2</v>
      </c>
      <c r="AM55" s="55">
        <f t="shared" ca="1" si="30"/>
        <v>0.13260461277475485</v>
      </c>
      <c r="AN55" s="55">
        <f t="shared" ca="1" si="30"/>
        <v>0.18542738587493071</v>
      </c>
      <c r="AO55" s="55">
        <f t="shared" ca="1" si="30"/>
        <v>0.19446900100007108</v>
      </c>
      <c r="AP55" s="55">
        <f t="shared" ca="1" si="30"/>
        <v>0.16316119508031551</v>
      </c>
      <c r="AQ55" s="55">
        <f t="shared" ca="1" si="40"/>
        <v>3.1791723128861818E-2</v>
      </c>
      <c r="AR55" s="55">
        <f t="shared" ca="1" si="40"/>
        <v>8.2863090163212638E-2</v>
      </c>
      <c r="AS55" s="55">
        <f t="shared" ca="1" si="40"/>
        <v>0.17278186988646008</v>
      </c>
      <c r="AT55" s="55">
        <f t="shared" ca="1" si="40"/>
        <v>0.27020692659415702</v>
      </c>
      <c r="AU55" s="55">
        <f t="shared" ca="1" si="40"/>
        <v>0.28171081926376607</v>
      </c>
      <c r="AV55" s="55">
        <f t="shared" ca="1" si="40"/>
        <v>0.14685224152203211</v>
      </c>
      <c r="AW55" s="55">
        <f t="shared" ca="1" si="31"/>
        <v>0.19446900100007108</v>
      </c>
      <c r="AX55" s="55">
        <f t="shared" ca="1" si="32"/>
        <v>0.28171081926376607</v>
      </c>
      <c r="AY55" s="54">
        <f t="shared" ca="1" si="33"/>
        <v>4</v>
      </c>
      <c r="AZ55" s="54">
        <f t="shared" ca="1" si="34"/>
        <v>1</v>
      </c>
      <c r="BA55" s="54" t="str">
        <f t="shared" si="35"/>
        <v>ATK-MBOdisha</v>
      </c>
      <c r="BB55" s="54">
        <f t="shared" ca="1" si="19"/>
        <v>3</v>
      </c>
      <c r="BC55" s="54">
        <f t="shared" ca="1" si="20"/>
        <v>0</v>
      </c>
      <c r="BD55" s="54">
        <f t="shared" ca="1" si="21"/>
        <v>3</v>
      </c>
      <c r="BE55" s="54" t="str">
        <f t="shared" ca="1" si="36"/>
        <v>HW</v>
      </c>
      <c r="BF55" s="55" t="str">
        <f t="shared" ca="1" si="37"/>
        <v>AL</v>
      </c>
      <c r="BG55" s="86">
        <f t="shared" ca="1" si="38"/>
        <v>0.52089778143590793</v>
      </c>
      <c r="BH55" s="86">
        <f t="shared" ca="1" si="39"/>
        <v>0.10919338972008336</v>
      </c>
      <c r="BI55" s="87">
        <f t="shared" ca="1" si="22"/>
        <v>0.36990882884400866</v>
      </c>
    </row>
    <row r="56" spans="1:61" x14ac:dyDescent="0.2">
      <c r="A56" s="52">
        <f>'ISL 8'!B57</f>
        <v>44570</v>
      </c>
      <c r="B56" s="54">
        <f>'ISL 8'!C57</f>
        <v>54</v>
      </c>
      <c r="C56" s="54" t="str">
        <f>'ISL 8'!D57</f>
        <v>Goa</v>
      </c>
      <c r="D56" s="54">
        <f>IF('ISL 8'!E57&lt;&gt;"",'ISL 8'!E57,INDEX($AK$2:$AP$2,,MATCH($AW56,AK56:AP56,0)))</f>
        <v>1</v>
      </c>
      <c r="E56" s="54" t="str">
        <f>'ISL 8'!G57</f>
        <v>Chennaiyin</v>
      </c>
      <c r="F56" s="54">
        <f>IF('ISL 8'!F57&lt;&gt;"",'ISL 8'!F57,INDEX($AQ$2:$AV$2,,MATCH($AX56,AQ56:AV56,0)))</f>
        <v>0</v>
      </c>
      <c r="G56" s="55">
        <f>VLOOKUP($C56,'ISL Total'!$D$5:$AH$15,25,0)</f>
        <v>1.7934931050517995</v>
      </c>
      <c r="H56" s="55">
        <f>VLOOKUP($C56,'ISL Total'!$D$5:$AH$15,28,0)</f>
        <v>2.0847265162792477</v>
      </c>
      <c r="I56" s="55">
        <f>VLOOKUP($E56,'ISL Total'!$D$5:$AH$15,26,0)</f>
        <v>1.4832889614107407</v>
      </c>
      <c r="J56" s="55">
        <f>VLOOKUP(E56,'ISL Total'!$D$5:$AH$15,29,0)</f>
        <v>1.6817905576540886</v>
      </c>
      <c r="K56" s="55">
        <f t="shared" si="26"/>
        <v>4.3187367718283731</v>
      </c>
      <c r="L56" s="55">
        <f t="shared" si="27"/>
        <v>4.1423235294904428</v>
      </c>
      <c r="M56" s="55">
        <f t="shared" ca="1" si="11"/>
        <v>3.3521356733377008</v>
      </c>
      <c r="N56" s="55">
        <v>4.3229091329568501</v>
      </c>
      <c r="O56" s="55">
        <v>4.1204023926087556</v>
      </c>
      <c r="P56" s="55">
        <v>4.085682069256845</v>
      </c>
      <c r="Q56" s="55">
        <v>4.274059444109465</v>
      </c>
      <c r="R56" s="55">
        <v>4.3675532179957264</v>
      </c>
      <c r="S56" s="55">
        <v>4.3822506503568741</v>
      </c>
      <c r="T56" s="55">
        <v>4.5149412599474195</v>
      </c>
      <c r="U56" s="55">
        <v>3.9493834842007209</v>
      </c>
      <c r="V56" s="55">
        <v>4.8465099652415429</v>
      </c>
      <c r="W56" s="55">
        <v>4.3688673742376523</v>
      </c>
      <c r="X56" s="55">
        <f t="shared" ca="1" si="28"/>
        <v>4.2349722422045053</v>
      </c>
      <c r="Y56" s="55">
        <f t="shared" ca="1" si="13"/>
        <v>4.0638811157224248</v>
      </c>
      <c r="Z56" s="55">
        <v>4.0225815820489572</v>
      </c>
      <c r="AA56" s="55">
        <v>4.1503863201308109</v>
      </c>
      <c r="AB56" s="55">
        <v>4.1484665961999463</v>
      </c>
      <c r="AC56" s="55">
        <v>4.469163897422983</v>
      </c>
      <c r="AD56" s="55">
        <v>4.197063519266738</v>
      </c>
      <c r="AE56" s="55">
        <v>4.2893181882325981</v>
      </c>
      <c r="AF56" s="55">
        <v>3.6588499140605899</v>
      </c>
      <c r="AG56" s="55">
        <v>3.9995414947121173</v>
      </c>
      <c r="AH56" s="55">
        <v>3.7198067368874734</v>
      </c>
      <c r="AI56" s="55">
        <v>4.0563709036470357</v>
      </c>
      <c r="AJ56" s="55">
        <f t="shared" ca="1" si="29"/>
        <v>4.0704936607574247</v>
      </c>
      <c r="AK56" s="55">
        <f t="shared" ca="1" si="30"/>
        <v>1.4480212130948326E-2</v>
      </c>
      <c r="AL56" s="55">
        <f t="shared" ca="1" si="30"/>
        <v>6.1323296435799111E-2</v>
      </c>
      <c r="AM56" s="55">
        <f t="shared" ca="1" si="30"/>
        <v>0.12985122910304384</v>
      </c>
      <c r="AN56" s="55">
        <f t="shared" ca="1" si="30"/>
        <v>0.18330545028917619</v>
      </c>
      <c r="AO56" s="55">
        <f t="shared" ca="1" si="30"/>
        <v>0.19407337345486478</v>
      </c>
      <c r="AP56" s="55">
        <f t="shared" ca="1" si="30"/>
        <v>0.16437906990646817</v>
      </c>
      <c r="AQ56" s="55">
        <f t="shared" ca="1" si="40"/>
        <v>0.15895025613678035</v>
      </c>
      <c r="AR56" s="55">
        <f t="shared" ca="1" si="40"/>
        <v>0.19524690293609664</v>
      </c>
      <c r="AS56" s="55">
        <f t="shared" ca="1" si="40"/>
        <v>0.19186557622572564</v>
      </c>
      <c r="AT56" s="55">
        <f t="shared" ca="1" si="40"/>
        <v>0.14140710602901949</v>
      </c>
      <c r="AU56" s="55">
        <f t="shared" ca="1" si="40"/>
        <v>6.9479094092340085E-2</v>
      </c>
      <c r="AV56" s="55">
        <f t="shared" ca="1" si="40"/>
        <v>1.7068960151484829E-2</v>
      </c>
      <c r="AW56" s="55">
        <f t="shared" ca="1" si="31"/>
        <v>0.19407337345486478</v>
      </c>
      <c r="AX56" s="55">
        <f t="shared" ca="1" si="32"/>
        <v>0.19524690293609664</v>
      </c>
      <c r="AY56" s="54">
        <f t="shared" ca="1" si="33"/>
        <v>4</v>
      </c>
      <c r="AZ56" s="54">
        <f t="shared" ca="1" si="34"/>
        <v>4</v>
      </c>
      <c r="BA56" s="54" t="str">
        <f t="shared" si="35"/>
        <v>GoaChennaiyin</v>
      </c>
      <c r="BB56" s="54">
        <f t="shared" si="19"/>
        <v>3</v>
      </c>
      <c r="BC56" s="54">
        <f t="shared" si="20"/>
        <v>0</v>
      </c>
      <c r="BD56" s="54">
        <f t="shared" si="21"/>
        <v>1</v>
      </c>
      <c r="BE56" s="54" t="str">
        <f t="shared" si="36"/>
        <v>HW</v>
      </c>
      <c r="BF56" s="55" t="str">
        <f t="shared" si="37"/>
        <v>AL</v>
      </c>
      <c r="BG56" s="86">
        <f t="shared" ca="1" si="38"/>
        <v>0.2366507925012338</v>
      </c>
      <c r="BH56" s="86">
        <f t="shared" ca="1" si="39"/>
        <v>0.12206006198836672</v>
      </c>
      <c r="BI56" s="87">
        <f t="shared" ca="1" si="22"/>
        <v>0.64128914551039951</v>
      </c>
    </row>
    <row r="57" spans="1:61" x14ac:dyDescent="0.2">
      <c r="A57" s="52">
        <f>'ISL 8'!B58</f>
        <v>44570</v>
      </c>
      <c r="B57" s="54">
        <f>'ISL 8'!C58</f>
        <v>55</v>
      </c>
      <c r="C57" s="54" t="str">
        <f>'ISL 8'!D58</f>
        <v>Kerala Blasters</v>
      </c>
      <c r="D57" s="54">
        <f>IF('ISL 8'!E58&lt;&gt;"",'ISL 8'!E58,INDEX($AK$2:$AP$2,,MATCH($AW57,AK57:AP57,0)))</f>
        <v>1</v>
      </c>
      <c r="E57" s="54" t="str">
        <f>'ISL 8'!G58</f>
        <v>Hyderabad</v>
      </c>
      <c r="F57" s="54">
        <f>IF('ISL 8'!F58&lt;&gt;"",'ISL 8'!F58,INDEX($AQ$2:$AV$2,,MATCH($AX57,AQ57:AV57,0)))</f>
        <v>0</v>
      </c>
      <c r="G57" s="55">
        <f>VLOOKUP($C57,'ISL Total'!$D$5:$AH$15,25,0)</f>
        <v>1.7408543887928634</v>
      </c>
      <c r="H57" s="55">
        <f>VLOOKUP($C57,'ISL Total'!$D$5:$AH$15,28,0)</f>
        <v>1.6729569830909576</v>
      </c>
      <c r="I57" s="55">
        <f>VLOOKUP($E57,'ISL Total'!$D$5:$AH$15,26,0)</f>
        <v>2.2018340394671556</v>
      </c>
      <c r="J57" s="55">
        <f>VLOOKUP(E57,'ISL Total'!$D$5:$AH$15,29,0)</f>
        <v>1.4450563501928062</v>
      </c>
      <c r="K57" s="55">
        <f t="shared" si="26"/>
        <v>3.601905735082767</v>
      </c>
      <c r="L57" s="55">
        <f t="shared" si="27"/>
        <v>4.9344473125686337</v>
      </c>
      <c r="M57" s="55">
        <f t="shared" ca="1" si="11"/>
        <v>3.4625054378818256</v>
      </c>
      <c r="N57" s="55">
        <v>3.4178575066932049</v>
      </c>
      <c r="O57" s="55">
        <v>4.2103322425284908</v>
      </c>
      <c r="P57" s="55">
        <v>4.0947226989513048</v>
      </c>
      <c r="Q57" s="55">
        <v>3.370461942265536</v>
      </c>
      <c r="R57" s="55">
        <v>3.8556657347971139</v>
      </c>
      <c r="S57" s="55">
        <v>3.8363589164385239</v>
      </c>
      <c r="T57" s="55">
        <v>3.554821902710839</v>
      </c>
      <c r="U57" s="55">
        <v>3.0737169671057956</v>
      </c>
      <c r="V57" s="55">
        <v>3.7665842294127918</v>
      </c>
      <c r="W57" s="55">
        <v>3.387566914694522</v>
      </c>
      <c r="X57" s="55">
        <f t="shared" ca="1" si="28"/>
        <v>3.639144953952723</v>
      </c>
      <c r="Y57" s="55">
        <f t="shared" ca="1" si="13"/>
        <v>4.8198225365398351</v>
      </c>
      <c r="Z57" s="55">
        <v>4.6507314106158333</v>
      </c>
      <c r="AA57" s="55">
        <v>4.9569054966392416</v>
      </c>
      <c r="AB57" s="55">
        <v>4.9759508531210876</v>
      </c>
      <c r="AC57" s="55">
        <v>4.7322718893459923</v>
      </c>
      <c r="AD57" s="55">
        <v>4.8893749945544629</v>
      </c>
      <c r="AE57" s="55">
        <v>5.126283153003441</v>
      </c>
      <c r="AF57" s="55">
        <v>4.9535960932555003</v>
      </c>
      <c r="AG57" s="55">
        <v>5.0696979437332601</v>
      </c>
      <c r="AH57" s="55">
        <v>5.2211926995053783</v>
      </c>
      <c r="AI57" s="55">
        <v>4.6667459452321323</v>
      </c>
      <c r="AJ57" s="55">
        <f t="shared" ca="1" si="29"/>
        <v>4.9147793650496503</v>
      </c>
      <c r="AK57" s="55">
        <f t="shared" ca="1" si="30"/>
        <v>2.6274800527956811E-2</v>
      </c>
      <c r="AL57" s="55">
        <f t="shared" ca="1" si="30"/>
        <v>9.5617807757428369E-2</v>
      </c>
      <c r="AM57" s="55">
        <f t="shared" ca="1" si="30"/>
        <v>0.17398353130423355</v>
      </c>
      <c r="AN57" s="55">
        <f t="shared" ca="1" si="30"/>
        <v>0.21105043000555901</v>
      </c>
      <c r="AO57" s="55">
        <f t="shared" ca="1" si="30"/>
        <v>0.1920107768460706</v>
      </c>
      <c r="AP57" s="55">
        <f t="shared" ca="1" si="30"/>
        <v>0.13975100993278408</v>
      </c>
      <c r="AQ57" s="55">
        <f t="shared" ca="1" si="40"/>
        <v>0.17533851616294119</v>
      </c>
      <c r="AR57" s="55">
        <f t="shared" ca="1" si="40"/>
        <v>0.17837882755207865</v>
      </c>
      <c r="AS57" s="55">
        <f t="shared" ca="1" si="40"/>
        <v>0.14517748554132834</v>
      </c>
      <c r="AT57" s="55">
        <f t="shared" ca="1" si="40"/>
        <v>8.8616888831506105E-2</v>
      </c>
      <c r="AU57" s="55">
        <f t="shared" ca="1" si="40"/>
        <v>3.6061390450885827E-2</v>
      </c>
      <c r="AV57" s="55">
        <f t="shared" ca="1" si="40"/>
        <v>7.3373365867302831E-3</v>
      </c>
      <c r="AW57" s="55">
        <f t="shared" ca="1" si="31"/>
        <v>0.21105043000555901</v>
      </c>
      <c r="AX57" s="55">
        <f t="shared" ca="1" si="32"/>
        <v>0.17837882755207865</v>
      </c>
      <c r="AY57" s="54">
        <f t="shared" ca="1" si="33"/>
        <v>3</v>
      </c>
      <c r="AZ57" s="54">
        <f t="shared" ca="1" si="34"/>
        <v>4</v>
      </c>
      <c r="BA57" s="54" t="str">
        <f t="shared" si="35"/>
        <v>Kerala BlastersHyderabad</v>
      </c>
      <c r="BB57" s="54">
        <f t="shared" si="19"/>
        <v>3</v>
      </c>
      <c r="BC57" s="54">
        <f t="shared" si="20"/>
        <v>0</v>
      </c>
      <c r="BD57" s="54">
        <f t="shared" si="21"/>
        <v>1</v>
      </c>
      <c r="BE57" s="54" t="str">
        <f t="shared" si="36"/>
        <v>HW</v>
      </c>
      <c r="BF57" s="55" t="str">
        <f t="shared" si="37"/>
        <v>AL</v>
      </c>
      <c r="BG57" s="86">
        <f t="shared" ca="1" si="38"/>
        <v>0.15300489622767371</v>
      </c>
      <c r="BH57" s="86">
        <f t="shared" ca="1" si="39"/>
        <v>0.10845294012259718</v>
      </c>
      <c r="BI57" s="87">
        <f t="shared" ca="1" si="22"/>
        <v>0.73854216364972913</v>
      </c>
    </row>
    <row r="58" spans="1:61" x14ac:dyDescent="0.2">
      <c r="A58" s="52">
        <f>'ISL 8'!B59</f>
        <v>44572</v>
      </c>
      <c r="B58" s="54">
        <f>'ISL 8'!C59</f>
        <v>56</v>
      </c>
      <c r="C58" s="54" t="str">
        <f>'ISL 8'!D59</f>
        <v>Mumbai City</v>
      </c>
      <c r="D58" s="54">
        <f>IF('ISL 8'!E59&lt;&gt;"",'ISL 8'!E59,INDEX($AK$2:$AP$2,,MATCH($AW58,AK58:AP58,0)))</f>
        <v>0</v>
      </c>
      <c r="E58" s="54" t="str">
        <f>'ISL 8'!G59</f>
        <v>Bengaluru</v>
      </c>
      <c r="F58" s="54">
        <f>IF('ISL 8'!F59&lt;&gt;"",'ISL 8'!F59,INDEX($AQ$2:$AV$2,,MATCH($AX58,AQ58:AV58,0)))</f>
        <v>3</v>
      </c>
      <c r="G58" s="55">
        <f>VLOOKUP($C58,'ISL Total'!$D$5:$AH$15,25,0)</f>
        <v>1.711666848062984</v>
      </c>
      <c r="H58" s="55">
        <f>VLOOKUP($C58,'ISL Total'!$D$5:$AH$15,28,0)</f>
        <v>2.0663350700408412</v>
      </c>
      <c r="I58" s="55">
        <f>VLOOKUP($E58,'ISL Total'!$D$5:$AH$15,26,0)</f>
        <v>2.137197984655903</v>
      </c>
      <c r="J58" s="55">
        <f>VLOOKUP(E58,'ISL Total'!$D$5:$AH$15,29,0)</f>
        <v>1.6538618669066225</v>
      </c>
      <c r="K58" s="55">
        <f t="shared" si="26"/>
        <v>4.053251819132762</v>
      </c>
      <c r="L58" s="55">
        <f t="shared" si="27"/>
        <v>5.9158160768139707</v>
      </c>
      <c r="M58" s="55">
        <f t="shared" ca="1" si="11"/>
        <v>4.6692119166286128</v>
      </c>
      <c r="N58" s="55">
        <v>4.4854853817623148</v>
      </c>
      <c r="O58" s="55">
        <v>4.1319984575607656</v>
      </c>
      <c r="P58" s="55">
        <v>4.0589157397933402</v>
      </c>
      <c r="Q58" s="55">
        <v>3.8205479437679313</v>
      </c>
      <c r="R58" s="55">
        <v>4.3228542612365093</v>
      </c>
      <c r="S58" s="55">
        <v>4.1429246027546132</v>
      </c>
      <c r="T58" s="55">
        <v>4.1869838259032592</v>
      </c>
      <c r="U58" s="55">
        <v>3.5544327952176671</v>
      </c>
      <c r="V58" s="55">
        <v>3.990601221376934</v>
      </c>
      <c r="W58" s="55">
        <v>4.0429554642315466</v>
      </c>
      <c r="X58" s="55">
        <f t="shared" ca="1" si="28"/>
        <v>4.127901055475772</v>
      </c>
      <c r="Y58" s="55">
        <f t="shared" ca="1" si="13"/>
        <v>5.995691973939973</v>
      </c>
      <c r="Z58" s="55">
        <v>5.4802383111742765</v>
      </c>
      <c r="AA58" s="55">
        <v>5.499235329051138</v>
      </c>
      <c r="AB58" s="55">
        <v>5.9500308488182734</v>
      </c>
      <c r="AC58" s="55">
        <v>5.644517617158991</v>
      </c>
      <c r="AD58" s="55">
        <v>5.8378939275544539</v>
      </c>
      <c r="AE58" s="55">
        <v>5.9450665447377622</v>
      </c>
      <c r="AF58" s="55">
        <v>5.8579848850090581</v>
      </c>
      <c r="AG58" s="55">
        <v>6.0057593963289539</v>
      </c>
      <c r="AH58" s="55">
        <v>5.982453200887325</v>
      </c>
      <c r="AI58" s="55">
        <v>5.9956990909830639</v>
      </c>
      <c r="AJ58" s="55">
        <f t="shared" ca="1" si="29"/>
        <v>5.8358701023312074</v>
      </c>
      <c r="AK58" s="55">
        <f t="shared" ca="1" si="30"/>
        <v>1.6116671344935524E-2</v>
      </c>
      <c r="AL58" s="55">
        <f t="shared" ca="1" si="30"/>
        <v>6.6528024655515494E-2</v>
      </c>
      <c r="AM58" s="55">
        <f t="shared" ca="1" si="30"/>
        <v>0.13731055159711028</v>
      </c>
      <c r="AN58" s="55">
        <f t="shared" ca="1" si="30"/>
        <v>0.18893479028855734</v>
      </c>
      <c r="AO58" s="55">
        <f t="shared" ca="1" si="30"/>
        <v>0.19497603006205738</v>
      </c>
      <c r="AP58" s="55">
        <f t="shared" ca="1" si="30"/>
        <v>0.16096835205712848</v>
      </c>
      <c r="AQ58" s="55">
        <f t="shared" ca="1" si="40"/>
        <v>0.1647633654850032</v>
      </c>
      <c r="AR58" s="55">
        <f t="shared" ca="1" si="40"/>
        <v>0.14116435304067729</v>
      </c>
      <c r="AS58" s="55">
        <f t="shared" ca="1" si="40"/>
        <v>9.675633663215874E-2</v>
      </c>
      <c r="AT58" s="55">
        <f t="shared" ca="1" si="40"/>
        <v>4.9738771563905264E-2</v>
      </c>
      <c r="AU58" s="55">
        <f t="shared" ca="1" si="40"/>
        <v>1.7045880285798863E-2</v>
      </c>
      <c r="AV58" s="55">
        <f t="shared" ca="1" si="40"/>
        <v>2.9208806890663455E-3</v>
      </c>
      <c r="AW58" s="55">
        <f t="shared" ca="1" si="31"/>
        <v>0.19497603006205738</v>
      </c>
      <c r="AX58" s="55">
        <f t="shared" ca="1" si="32"/>
        <v>0.1647633654850032</v>
      </c>
      <c r="AY58" s="54">
        <f t="shared" ca="1" si="33"/>
        <v>4</v>
      </c>
      <c r="AZ58" s="54">
        <f t="shared" ca="1" si="34"/>
        <v>5</v>
      </c>
      <c r="BA58" s="54" t="str">
        <f t="shared" si="35"/>
        <v>Mumbai CityBengaluru</v>
      </c>
      <c r="BB58" s="54">
        <f t="shared" si="19"/>
        <v>0</v>
      </c>
      <c r="BC58" s="54">
        <f t="shared" si="20"/>
        <v>3</v>
      </c>
      <c r="BD58" s="54">
        <f t="shared" si="21"/>
        <v>3</v>
      </c>
      <c r="BE58" s="54" t="str">
        <f t="shared" si="36"/>
        <v>HL</v>
      </c>
      <c r="BF58" s="55" t="str">
        <f t="shared" si="37"/>
        <v>AW</v>
      </c>
      <c r="BG58" s="86">
        <f t="shared" ca="1" si="38"/>
        <v>9.8079928004348893E-2</v>
      </c>
      <c r="BH58" s="86">
        <f t="shared" ca="1" si="39"/>
        <v>8.0336752511577819E-2</v>
      </c>
      <c r="BI58" s="87">
        <f t="shared" ca="1" si="22"/>
        <v>0.82158331948407326</v>
      </c>
    </row>
    <row r="59" spans="1:61" x14ac:dyDescent="0.2">
      <c r="A59" s="52">
        <f>'ISL 8'!B60</f>
        <v>44573</v>
      </c>
      <c r="B59" s="54">
        <f>'ISL 8'!C60</f>
        <v>57</v>
      </c>
      <c r="C59" s="54" t="str">
        <f>'ISL 8'!D60</f>
        <v>Jamshedpur</v>
      </c>
      <c r="D59" s="54">
        <f>IF('ISL 8'!E60&lt;&gt;"",'ISL 8'!E60,INDEX($AK$2:$AP$2,,MATCH($AW59,AK59:AP59,0)))</f>
        <v>1</v>
      </c>
      <c r="E59" s="54" t="str">
        <f>'ISL 8'!G60</f>
        <v>East Bengal</v>
      </c>
      <c r="F59" s="54">
        <f>IF('ISL 8'!F60&lt;&gt;"",'ISL 8'!F60,INDEX($AQ$2:$AV$2,,MATCH($AX59,AQ59:AV59,0)))</f>
        <v>0</v>
      </c>
      <c r="G59" s="55">
        <f>VLOOKUP($C59,'ISL Total'!$D$5:$AH$15,25,0)</f>
        <v>1.6665097487371039</v>
      </c>
      <c r="H59" s="55">
        <f>VLOOKUP($C59,'ISL Total'!$D$5:$AH$15,28,0)</f>
        <v>1.5979083171113402</v>
      </c>
      <c r="I59" s="55">
        <f>VLOOKUP($E59,'ISL Total'!$D$5:$AH$15,26,0)</f>
        <v>2.2664839306843771</v>
      </c>
      <c r="J59" s="55">
        <f>VLOOKUP(E59,'ISL Total'!$D$5:$AH$15,29,0)</f>
        <v>2.3205343227457229</v>
      </c>
      <c r="K59" s="55">
        <f t="shared" si="26"/>
        <v>5.5370821666121133</v>
      </c>
      <c r="L59" s="55">
        <f t="shared" si="27"/>
        <v>4.8514734853999197</v>
      </c>
      <c r="M59" s="55">
        <f t="shared" ca="1" si="11"/>
        <v>5.6305119541846169</v>
      </c>
      <c r="N59" s="55">
        <v>5.3679973030743522</v>
      </c>
      <c r="O59" s="55">
        <v>6.3761644330201985</v>
      </c>
      <c r="P59" s="55">
        <v>5.6169735103216629</v>
      </c>
      <c r="Q59" s="55">
        <v>6.0695971741861339</v>
      </c>
      <c r="R59" s="55">
        <v>5.6498977527877949</v>
      </c>
      <c r="S59" s="55">
        <v>5.6020319891894257</v>
      </c>
      <c r="T59" s="55">
        <v>5.1619176039061498</v>
      </c>
      <c r="U59" s="55">
        <v>5.2334471684044317</v>
      </c>
      <c r="V59" s="55">
        <v>5.5054819491314717</v>
      </c>
      <c r="W59" s="55">
        <v>5.8148882614314514</v>
      </c>
      <c r="X59" s="55">
        <f t="shared" ca="1" si="28"/>
        <v>5.6389917363306985</v>
      </c>
      <c r="Y59" s="55">
        <f t="shared" ca="1" si="13"/>
        <v>4.928507885632011</v>
      </c>
      <c r="Z59" s="55">
        <v>4.7062120913508041</v>
      </c>
      <c r="AA59" s="55">
        <v>4.8221754848625968</v>
      </c>
      <c r="AB59" s="55">
        <v>4.8924154237185222</v>
      </c>
      <c r="AC59" s="55">
        <v>5.08077385867362</v>
      </c>
      <c r="AD59" s="55">
        <v>5.2503901538271434</v>
      </c>
      <c r="AE59" s="55">
        <v>5.2253057161947227</v>
      </c>
      <c r="AF59" s="55">
        <v>4.7796283155310837</v>
      </c>
      <c r="AG59" s="55">
        <v>4.5883291893283662</v>
      </c>
      <c r="AH59" s="55">
        <v>4.6138752334268762</v>
      </c>
      <c r="AI59" s="55">
        <v>5.1851355110934794</v>
      </c>
      <c r="AJ59" s="55">
        <f t="shared" ca="1" si="29"/>
        <v>4.9157044421490204</v>
      </c>
      <c r="AK59" s="55">
        <f t="shared" ca="1" si="30"/>
        <v>3.5564524408795042E-3</v>
      </c>
      <c r="AL59" s="55">
        <f t="shared" ca="1" si="30"/>
        <v>2.0054805924772667E-2</v>
      </c>
      <c r="AM59" s="55">
        <f t="shared" ca="1" si="30"/>
        <v>5.6544442441754515E-2</v>
      </c>
      <c r="AN59" s="55">
        <f t="shared" ca="1" si="30"/>
        <v>0.10628454788816019</v>
      </c>
      <c r="AO59" s="55">
        <f t="shared" ca="1" si="30"/>
        <v>0.14983442181024489</v>
      </c>
      <c r="AP59" s="55">
        <f t="shared" ca="1" si="30"/>
        <v>0.16898301328117182</v>
      </c>
      <c r="AQ59" s="55">
        <f t="shared" ca="1" si="40"/>
        <v>0.17534131317986532</v>
      </c>
      <c r="AR59" s="55">
        <f t="shared" ca="1" si="40"/>
        <v>0.17834810375947929</v>
      </c>
      <c r="AS59" s="55">
        <f t="shared" ca="1" si="40"/>
        <v>0.14512516434491737</v>
      </c>
      <c r="AT59" s="55">
        <f t="shared" ca="1" si="40"/>
        <v>8.8568281140274818E-2</v>
      </c>
      <c r="AU59" s="55">
        <f t="shared" ca="1" si="40"/>
        <v>3.6034827635631816E-2</v>
      </c>
      <c r="AV59" s="55">
        <f t="shared" ca="1" si="40"/>
        <v>7.3305521232432582E-3</v>
      </c>
      <c r="AW59" s="55">
        <f t="shared" ca="1" si="31"/>
        <v>0.16898301328117182</v>
      </c>
      <c r="AX59" s="55">
        <f t="shared" ca="1" si="32"/>
        <v>0.17834810375947929</v>
      </c>
      <c r="AY59" s="54">
        <f t="shared" ca="1" si="33"/>
        <v>5</v>
      </c>
      <c r="AZ59" s="54">
        <f t="shared" ca="1" si="34"/>
        <v>4</v>
      </c>
      <c r="BA59" s="54" t="str">
        <f t="shared" si="35"/>
        <v>JamshedpurEast Bengal</v>
      </c>
      <c r="BB59" s="54">
        <f t="shared" si="19"/>
        <v>3</v>
      </c>
      <c r="BC59" s="54">
        <f t="shared" si="20"/>
        <v>0</v>
      </c>
      <c r="BD59" s="54">
        <f t="shared" si="21"/>
        <v>1</v>
      </c>
      <c r="BE59" s="54" t="str">
        <f t="shared" si="36"/>
        <v>HW</v>
      </c>
      <c r="BF59" s="55" t="str">
        <f t="shared" si="37"/>
        <v>AL</v>
      </c>
      <c r="BG59" s="86">
        <f t="shared" ca="1" si="38"/>
        <v>0.13509057753980408</v>
      </c>
      <c r="BH59" s="86">
        <f t="shared" ca="1" si="39"/>
        <v>7.7533737251019252E-2</v>
      </c>
      <c r="BI59" s="87">
        <f t="shared" ca="1" si="22"/>
        <v>0.78737568520917667</v>
      </c>
    </row>
    <row r="60" spans="1:61" x14ac:dyDescent="0.2">
      <c r="A60" s="52">
        <f>'ISL 8'!B61</f>
        <v>44574</v>
      </c>
      <c r="B60" s="54">
        <f>'ISL 8'!C61</f>
        <v>58</v>
      </c>
      <c r="C60" s="54" t="str">
        <f>'ISL 8'!D61</f>
        <v>Odisha</v>
      </c>
      <c r="D60" s="54">
        <f>IF('ISL 8'!E61&lt;&gt;"",'ISL 8'!E61,INDEX($AK$2:$AP$2,,MATCH($AW60,AK60:AP60,0)))</f>
        <v>0</v>
      </c>
      <c r="E60" s="54" t="str">
        <f>'ISL 8'!G61</f>
        <v>Kerala Blasters</v>
      </c>
      <c r="F60" s="54">
        <f>IF('ISL 8'!F61&lt;&gt;"",'ISL 8'!F61,INDEX($AQ$2:$AV$2,,MATCH($AX60,AQ60:AV60,0)))</f>
        <v>2</v>
      </c>
      <c r="G60" s="55">
        <f>VLOOKUP($C60,'ISL Total'!$D$5:$AH$15,25,0)</f>
        <v>1.4571180555555554</v>
      </c>
      <c r="H60" s="55">
        <f>VLOOKUP($C60,'ISL Total'!$D$5:$AH$15,28,0)</f>
        <v>1.7565140845070424</v>
      </c>
      <c r="I60" s="55">
        <f>VLOOKUP($E60,'ISL Total'!$D$5:$AH$15,26,0)</f>
        <v>2.1526909424023817</v>
      </c>
      <c r="J60" s="55">
        <f>VLOOKUP(E60,'ISL Total'!$D$5:$AH$15,29,0)</f>
        <v>1.99017477973497</v>
      </c>
      <c r="K60" s="55">
        <f t="shared" si="26"/>
        <v>4.1521312320202961</v>
      </c>
      <c r="L60" s="55">
        <f t="shared" si="27"/>
        <v>5.0652686079285658</v>
      </c>
      <c r="M60" s="55">
        <f t="shared" ca="1" si="11"/>
        <v>4.038588607845786</v>
      </c>
      <c r="N60" s="55">
        <v>4.4195210330769648</v>
      </c>
      <c r="O60" s="55">
        <v>4.3362274533667513</v>
      </c>
      <c r="P60" s="55">
        <v>4.3625359275407929</v>
      </c>
      <c r="Q60" s="55">
        <v>4.3129602370317466</v>
      </c>
      <c r="R60" s="55">
        <v>3.3737360094156856</v>
      </c>
      <c r="S60" s="55">
        <v>4.3681748595897743</v>
      </c>
      <c r="T60" s="55">
        <v>3.7193537855107728</v>
      </c>
      <c r="U60" s="55">
        <v>4.2543519042871356</v>
      </c>
      <c r="V60" s="55">
        <v>4.0265459419292675</v>
      </c>
      <c r="W60" s="55">
        <v>3.769368086500442</v>
      </c>
      <c r="X60" s="55">
        <f t="shared" ca="1" si="28"/>
        <v>4.0892148950995555</v>
      </c>
      <c r="Y60" s="55">
        <f t="shared" ca="1" si="13"/>
        <v>4.8960502415862157</v>
      </c>
      <c r="Z60" s="55">
        <v>4.6815050689630722</v>
      </c>
      <c r="AA60" s="55">
        <v>5.4976060947164953</v>
      </c>
      <c r="AB60" s="55">
        <v>5.3983849644237578</v>
      </c>
      <c r="AC60" s="55">
        <v>5.2301057475004731</v>
      </c>
      <c r="AD60" s="55">
        <v>5.1879751459600163</v>
      </c>
      <c r="AE60" s="55">
        <v>5.1787612186574403</v>
      </c>
      <c r="AF60" s="55">
        <v>5.1055691956225404</v>
      </c>
      <c r="AG60" s="55">
        <v>5.2686091326801545</v>
      </c>
      <c r="AH60" s="55">
        <v>5.5315226518290972</v>
      </c>
      <c r="AI60" s="55">
        <v>5.4628674319317909</v>
      </c>
      <c r="AJ60" s="55">
        <f t="shared" ca="1" si="29"/>
        <v>5.2217233539882777</v>
      </c>
      <c r="AK60" s="55">
        <f t="shared" ca="1" si="30"/>
        <v>1.6752380773173141E-2</v>
      </c>
      <c r="AL60" s="55">
        <f t="shared" ca="1" si="30"/>
        <v>6.8504084986039021E-2</v>
      </c>
      <c r="AM60" s="55">
        <f t="shared" ca="1" si="30"/>
        <v>0.14006396235003832</v>
      </c>
      <c r="AN60" s="55">
        <f t="shared" ca="1" si="30"/>
        <v>0.19091721370281334</v>
      </c>
      <c r="AO60" s="55">
        <f t="shared" ca="1" si="30"/>
        <v>0.1951753785011123</v>
      </c>
      <c r="AP60" s="55">
        <f t="shared" ca="1" si="30"/>
        <v>0.15962281298468842</v>
      </c>
      <c r="AQ60" s="55">
        <f t="shared" ca="1" si="40"/>
        <v>0.17463143049018753</v>
      </c>
      <c r="AR60" s="55">
        <f t="shared" ca="1" si="40"/>
        <v>0.16721627961849661</v>
      </c>
      <c r="AS60" s="55">
        <f t="shared" ca="1" si="40"/>
        <v>0.12809279104438132</v>
      </c>
      <c r="AT60" s="55">
        <f t="shared" ca="1" si="40"/>
        <v>7.3592250504737597E-2</v>
      </c>
      <c r="AU60" s="55">
        <f t="shared" ca="1" si="40"/>
        <v>2.8186958793414006E-2</v>
      </c>
      <c r="AV60" s="55">
        <f t="shared" ca="1" si="40"/>
        <v>5.3980184093600459E-3</v>
      </c>
      <c r="AW60" s="55">
        <f t="shared" ca="1" si="31"/>
        <v>0.1951753785011123</v>
      </c>
      <c r="AX60" s="55">
        <f t="shared" ca="1" si="32"/>
        <v>0.17463143049018753</v>
      </c>
      <c r="AY60" s="54">
        <f t="shared" ca="1" si="33"/>
        <v>4</v>
      </c>
      <c r="AZ60" s="54">
        <f t="shared" ca="1" si="34"/>
        <v>5</v>
      </c>
      <c r="BA60" s="54" t="str">
        <f t="shared" si="35"/>
        <v>OdishaKerala Blasters</v>
      </c>
      <c r="BB60" s="54">
        <f t="shared" si="19"/>
        <v>0</v>
      </c>
      <c r="BC60" s="54">
        <f t="shared" si="20"/>
        <v>3</v>
      </c>
      <c r="BD60" s="54">
        <f t="shared" si="21"/>
        <v>2</v>
      </c>
      <c r="BE60" s="54" t="str">
        <f t="shared" si="36"/>
        <v>HL</v>
      </c>
      <c r="BF60" s="55" t="str">
        <f t="shared" si="37"/>
        <v>AW</v>
      </c>
      <c r="BG60" s="86">
        <f t="shared" ca="1" si="38"/>
        <v>0.13570071907417802</v>
      </c>
      <c r="BH60" s="86">
        <f t="shared" ca="1" si="39"/>
        <v>9.7295753282528055E-2</v>
      </c>
      <c r="BI60" s="87">
        <f t="shared" ca="1" si="22"/>
        <v>0.76700352764329394</v>
      </c>
    </row>
    <row r="61" spans="1:61" x14ac:dyDescent="0.2">
      <c r="A61" s="52">
        <f>'ISL 8'!B62</f>
        <v>44575</v>
      </c>
      <c r="B61" s="54">
        <f>'ISL 8'!C62</f>
        <v>59</v>
      </c>
      <c r="C61" s="54" t="str">
        <f>'ISL 8'!D62</f>
        <v>Chennaiyin</v>
      </c>
      <c r="D61" s="54">
        <f>IF('ISL 8'!E62&lt;&gt;"",'ISL 8'!E62,INDEX($AK$2:$AP$2,,MATCH($AW61,AK61:AP61,0)))</f>
        <v>1</v>
      </c>
      <c r="E61" s="54" t="str">
        <f>'ISL 8'!G62</f>
        <v>Hyderabad</v>
      </c>
      <c r="F61" s="54">
        <f>IF('ISL 8'!F62&lt;&gt;"",'ISL 8'!F62,INDEX($AQ$2:$AV$2,,MATCH($AX61,AQ61:AV61,0)))</f>
        <v>1</v>
      </c>
      <c r="G61" s="55">
        <f>VLOOKUP($C61,'ISL Total'!$D$5:$AH$15,25,0)</f>
        <v>1.6923160070404248</v>
      </c>
      <c r="H61" s="55">
        <f>VLOOKUP($C61,'ISL Total'!$D$5:$AH$15,28,0)</f>
        <v>2.1914366960571012</v>
      </c>
      <c r="I61" s="55">
        <f>VLOOKUP($E61,'ISL Total'!$D$5:$AH$15,26,0)</f>
        <v>2.2018340394671556</v>
      </c>
      <c r="J61" s="55">
        <f>VLOOKUP(E61,'ISL Total'!$D$5:$AH$15,29,0)</f>
        <v>1.4450563501928062</v>
      </c>
      <c r="K61" s="55">
        <f t="shared" si="26"/>
        <v>3.5014776483161447</v>
      </c>
      <c r="L61" s="55">
        <f t="shared" si="27"/>
        <v>6.4637220351859606</v>
      </c>
      <c r="M61" s="55">
        <f t="shared" ca="1" si="11"/>
        <v>3.6422287910213345</v>
      </c>
      <c r="N61" s="55">
        <v>2.9505750672000941</v>
      </c>
      <c r="O61" s="55">
        <v>3.2278541275288748</v>
      </c>
      <c r="P61" s="55">
        <v>3.3443837748705416</v>
      </c>
      <c r="Q61" s="55">
        <v>3.8237298028093623</v>
      </c>
      <c r="R61" s="55">
        <v>3.6188630428951569</v>
      </c>
      <c r="S61" s="55">
        <v>3.6125051319207668</v>
      </c>
      <c r="T61" s="55">
        <v>3.4427756588002612</v>
      </c>
      <c r="U61" s="55">
        <v>3.3493766347532334</v>
      </c>
      <c r="V61" s="55">
        <v>3.9515226028060941</v>
      </c>
      <c r="W61" s="55">
        <v>3.637307867059282</v>
      </c>
      <c r="X61" s="55">
        <f t="shared" ca="1" si="28"/>
        <v>3.5091929546968186</v>
      </c>
      <c r="Y61" s="55">
        <f t="shared" ca="1" si="13"/>
        <v>6.7398139143353992</v>
      </c>
      <c r="Z61" s="55">
        <v>6.6738676982195599</v>
      </c>
      <c r="AA61" s="55">
        <v>6.6125412486348987</v>
      </c>
      <c r="AB61" s="55">
        <v>6.4338792475427127</v>
      </c>
      <c r="AC61" s="55">
        <v>6.3153480734149596</v>
      </c>
      <c r="AD61" s="55">
        <v>6.0378250978175894</v>
      </c>
      <c r="AE61" s="55">
        <v>5.9788825589526953</v>
      </c>
      <c r="AF61" s="55">
        <v>6.7727852433119224</v>
      </c>
      <c r="AG61" s="55">
        <v>6.7586133681802343</v>
      </c>
      <c r="AH61" s="55">
        <v>6.2371161695589397</v>
      </c>
      <c r="AI61" s="55">
        <v>6.6214988369773993</v>
      </c>
      <c r="AJ61" s="55">
        <f t="shared" ca="1" si="29"/>
        <v>6.4711064960860281</v>
      </c>
      <c r="AK61" s="55">
        <f t="shared" ref="AK61:AP100" ca="1" si="41">_xlfn.POISSON.DIST(AK$2,$X61,0)</f>
        <v>2.9921052340182851E-2</v>
      </c>
      <c r="AL61" s="55">
        <f t="shared" ref="AL61:AP83" ca="1" si="42">_xlfn.POISSON.DIST(AL$2,$X61,0)</f>
        <v>0.10499874606928442</v>
      </c>
      <c r="AM61" s="55">
        <f t="shared" ca="1" si="42"/>
        <v>0.18423042997916664</v>
      </c>
      <c r="AN61" s="55">
        <f t="shared" ca="1" si="42"/>
        <v>0.21550004230788566</v>
      </c>
      <c r="AO61" s="55">
        <f t="shared" ca="1" si="42"/>
        <v>0.18905780755092469</v>
      </c>
      <c r="AP61" s="55">
        <f t="shared" ca="1" si="42"/>
        <v>0.13268806525762633</v>
      </c>
      <c r="AQ61" s="55">
        <f t="shared" ca="1" si="40"/>
        <v>0.14633413562254749</v>
      </c>
      <c r="AR61" s="55">
        <f t="shared" ca="1" si="40"/>
        <v>0.1130673214164038</v>
      </c>
      <c r="AS61" s="55">
        <f t="shared" ca="1" si="40"/>
        <v>6.9890564455887871E-2</v>
      </c>
      <c r="AT61" s="55">
        <f t="shared" ca="1" si="40"/>
        <v>3.2401211986617905E-2</v>
      </c>
      <c r="AU61" s="55">
        <f t="shared" ca="1" si="40"/>
        <v>1.0014117989316168E-2</v>
      </c>
      <c r="AV61" s="55">
        <f t="shared" ca="1" si="40"/>
        <v>1.5475124687521506E-3</v>
      </c>
      <c r="AW61" s="55">
        <f t="shared" ca="1" si="31"/>
        <v>0.21550004230788566</v>
      </c>
      <c r="AX61" s="55">
        <f t="shared" ca="1" si="32"/>
        <v>0.14633413562254749</v>
      </c>
      <c r="AY61" s="54">
        <f t="shared" ca="1" si="33"/>
        <v>3</v>
      </c>
      <c r="AZ61" s="54">
        <f t="shared" ca="1" si="34"/>
        <v>5</v>
      </c>
      <c r="BA61" s="54" t="str">
        <f t="shared" si="35"/>
        <v>ChennaiyinHyderabad</v>
      </c>
      <c r="BB61" s="54">
        <f t="shared" si="19"/>
        <v>1</v>
      </c>
      <c r="BC61" s="54">
        <f t="shared" si="20"/>
        <v>1</v>
      </c>
      <c r="BD61" s="54">
        <f t="shared" si="21"/>
        <v>0</v>
      </c>
      <c r="BE61" s="54" t="str">
        <f t="shared" si="36"/>
        <v>HD</v>
      </c>
      <c r="BF61" s="55" t="str">
        <f t="shared" si="37"/>
        <v>AD</v>
      </c>
      <c r="BG61" s="86">
        <f t="shared" ca="1" si="38"/>
        <v>6.3401033324157627E-2</v>
      </c>
      <c r="BH61" s="86">
        <f t="shared" ca="1" si="39"/>
        <v>6.2921535076293209E-2</v>
      </c>
      <c r="BI61" s="87">
        <f t="shared" ca="1" si="22"/>
        <v>0.87367743159954914</v>
      </c>
    </row>
    <row r="62" spans="1:61" x14ac:dyDescent="0.2">
      <c r="A62" s="52">
        <f>'ISL 8'!B63</f>
        <v>44576</v>
      </c>
      <c r="B62" s="54">
        <f>'ISL 8'!C63</f>
        <v>60</v>
      </c>
      <c r="C62" s="54" t="str">
        <f>'ISL 8'!D63</f>
        <v>Goa</v>
      </c>
      <c r="D62" s="54">
        <f>IF('ISL 8'!E63&lt;&gt;"",'ISL 8'!E63,INDEX($AK$2:$AP$2,,MATCH($AW62,AK62:AP62,0)))</f>
        <v>1</v>
      </c>
      <c r="E62" s="54" t="str">
        <f>'ISL 8'!G63</f>
        <v>NorthEast United</v>
      </c>
      <c r="F62" s="54">
        <f>IF('ISL 8'!F63&lt;&gt;"",'ISL 8'!F63,INDEX($AQ$2:$AV$2,,MATCH($AX62,AQ62:AV62,0)))</f>
        <v>1</v>
      </c>
      <c r="G62" s="55">
        <f>VLOOKUP($C62,'ISL Total'!$D$5:$AH$15,25,0)</f>
        <v>1.7934931050517995</v>
      </c>
      <c r="H62" s="55">
        <f>VLOOKUP($C62,'ISL Total'!$D$5:$AH$15,28,0)</f>
        <v>2.0847265162792477</v>
      </c>
      <c r="I62" s="55">
        <f>VLOOKUP($E62,'ISL Total'!$D$5:$AH$15,26,0)</f>
        <v>1.8614679949616395</v>
      </c>
      <c r="J62" s="55">
        <f>VLOOKUP(E62,'ISL Total'!$D$5:$AH$15,29,0)</f>
        <v>2.7778362426875027</v>
      </c>
      <c r="K62" s="55">
        <f t="shared" si="26"/>
        <v>7.1333160201269115</v>
      </c>
      <c r="L62" s="55">
        <f t="shared" si="27"/>
        <v>5.1984494427770382</v>
      </c>
      <c r="M62" s="55">
        <f t="shared" ca="1" si="11"/>
        <v>6.7475156769224709</v>
      </c>
      <c r="N62" s="55">
        <v>7.0073547768465474</v>
      </c>
      <c r="O62" s="55">
        <v>7.3219570523983926</v>
      </c>
      <c r="P62" s="55">
        <v>7.3707952911451384</v>
      </c>
      <c r="Q62" s="55">
        <v>7.1050037968372015</v>
      </c>
      <c r="R62" s="55">
        <v>7.3743801502456217</v>
      </c>
      <c r="S62" s="55">
        <v>7.1735371140970363</v>
      </c>
      <c r="T62" s="55">
        <v>7.2067675915060176</v>
      </c>
      <c r="U62" s="55">
        <v>7.0998923043864526</v>
      </c>
      <c r="V62" s="55">
        <v>6.9502840600331659</v>
      </c>
      <c r="W62" s="55">
        <v>6.8625116573323552</v>
      </c>
      <c r="X62" s="55">
        <f t="shared" ca="1" si="28"/>
        <v>7.1109090428864015</v>
      </c>
      <c r="Y62" s="55">
        <f t="shared" ca="1" si="13"/>
        <v>5.565745725771392</v>
      </c>
      <c r="Z62" s="55">
        <v>5.0282868849726281</v>
      </c>
      <c r="AA62" s="55">
        <v>5.3626716325380572</v>
      </c>
      <c r="AB62" s="55">
        <v>5.0371385232040664</v>
      </c>
      <c r="AC62" s="55">
        <v>5.3624523639053736</v>
      </c>
      <c r="AD62" s="55">
        <v>5.147889217143887</v>
      </c>
      <c r="AE62" s="55">
        <v>5.046224637505822</v>
      </c>
      <c r="AF62" s="55">
        <v>5.3609345333672094</v>
      </c>
      <c r="AG62" s="55">
        <v>4.7217289009460046</v>
      </c>
      <c r="AH62" s="55">
        <v>5.447345918318133</v>
      </c>
      <c r="AI62" s="55">
        <v>4.8280681793369329</v>
      </c>
      <c r="AJ62" s="55">
        <f t="shared" ca="1" si="29"/>
        <v>5.1734987742735905</v>
      </c>
      <c r="AK62" s="55">
        <f t="shared" ca="1" si="41"/>
        <v>8.1615273694551893E-4</v>
      </c>
      <c r="AL62" s="55">
        <f t="shared" ca="1" si="42"/>
        <v>5.8035878775223775E-3</v>
      </c>
      <c r="AM62" s="55">
        <f t="shared" ca="1" si="42"/>
        <v>2.0634392759729885E-2</v>
      </c>
      <c r="AN62" s="55">
        <f t="shared" ca="1" si="42"/>
        <v>4.890976335654431E-2</v>
      </c>
      <c r="AO62" s="55">
        <f t="shared" ca="1" si="42"/>
        <v>8.6948219634371257E-2</v>
      </c>
      <c r="AP62" s="55">
        <f t="shared" ca="1" si="42"/>
        <v>0.12365617625218463</v>
      </c>
      <c r="AQ62" s="55">
        <f t="shared" ca="1" si="40"/>
        <v>0.17495184902254024</v>
      </c>
      <c r="AR62" s="55">
        <f t="shared" ca="1" si="40"/>
        <v>0.16908465301328421</v>
      </c>
      <c r="AS62" s="55">
        <f t="shared" ca="1" si="40"/>
        <v>0.13073137572127899</v>
      </c>
      <c r="AT62" s="55">
        <f t="shared" ca="1" si="40"/>
        <v>7.5808296140730161E-2</v>
      </c>
      <c r="AU62" s="55">
        <f t="shared" ca="1" si="40"/>
        <v>2.9306393776569267E-2</v>
      </c>
      <c r="AV62" s="55">
        <f t="shared" ca="1" si="40"/>
        <v>5.6647145491368501E-3</v>
      </c>
      <c r="AW62" s="55">
        <f t="shared" ca="1" si="31"/>
        <v>0.12365617625218463</v>
      </c>
      <c r="AX62" s="55">
        <f t="shared" ca="1" si="32"/>
        <v>0.17495184902254024</v>
      </c>
      <c r="AY62" s="54">
        <f t="shared" ca="1" si="33"/>
        <v>5</v>
      </c>
      <c r="AZ62" s="54">
        <f t="shared" ca="1" si="34"/>
        <v>5</v>
      </c>
      <c r="BA62" s="54" t="str">
        <f t="shared" si="35"/>
        <v>GoaNorthEast United</v>
      </c>
      <c r="BB62" s="54">
        <f t="shared" si="19"/>
        <v>1</v>
      </c>
      <c r="BC62" s="54">
        <f t="shared" si="20"/>
        <v>1</v>
      </c>
      <c r="BD62" s="54">
        <f t="shared" si="21"/>
        <v>0</v>
      </c>
      <c r="BE62" s="54" t="str">
        <f t="shared" si="36"/>
        <v>HD</v>
      </c>
      <c r="BF62" s="55" t="str">
        <f t="shared" si="37"/>
        <v>AD</v>
      </c>
      <c r="BG62" s="86">
        <f t="shared" ca="1" si="38"/>
        <v>7.7944271326429698E-2</v>
      </c>
      <c r="BH62" s="86">
        <f t="shared" ca="1" si="39"/>
        <v>4.4468490536133186E-2</v>
      </c>
      <c r="BI62" s="87">
        <f t="shared" ca="1" si="22"/>
        <v>0.87758723813743711</v>
      </c>
    </row>
    <row r="63" spans="1:61" x14ac:dyDescent="0.2">
      <c r="A63" s="52">
        <f>'ISL 8'!B64</f>
        <v>44577</v>
      </c>
      <c r="B63" s="54">
        <f>'ISL 8'!C64</f>
        <v>61</v>
      </c>
      <c r="C63" s="54" t="str">
        <f>'ISL 8'!D64</f>
        <v>NorthEast United</v>
      </c>
      <c r="D63" s="54">
        <f>IF('ISL 8'!E64&lt;&gt;"",'ISL 8'!E64,INDEX($AK$2:$AP$2,,MATCH($AW63,AK63:AP63,0)))</f>
        <v>0</v>
      </c>
      <c r="E63" s="54" t="str">
        <f>'ISL 8'!G64</f>
        <v>Odisha</v>
      </c>
      <c r="F63" s="54">
        <f>IF('ISL 8'!F64&lt;&gt;"",'ISL 8'!F64,INDEX($AQ$2:$AV$2,,MATCH($AX63,AQ63:AV63,0)))</f>
        <v>2</v>
      </c>
      <c r="G63" s="55">
        <f>VLOOKUP($C63,'ISL Total'!$D$5:$AH$15,25,0)</f>
        <v>1.9869978963421873</v>
      </c>
      <c r="H63" s="55">
        <f>VLOOKUP($C63,'ISL Total'!$D$5:$AH$15,28,0)</f>
        <v>2.4341100805374252</v>
      </c>
      <c r="I63" s="55">
        <f>VLOOKUP($E63,'ISL Total'!$D$5:$AH$15,26,0)</f>
        <v>0.79788732394366213</v>
      </c>
      <c r="J63" s="55">
        <f>VLOOKUP(E63,'ISL Total'!$D$5:$AH$15,29,0)</f>
        <v>1.3928240740740743</v>
      </c>
      <c r="K63" s="55">
        <f t="shared" si="26"/>
        <v>3.9625867704186555</v>
      </c>
      <c r="L63" s="55">
        <f t="shared" si="27"/>
        <v>2.6016624037583287</v>
      </c>
      <c r="M63" s="55">
        <f t="shared" ca="1" si="11"/>
        <v>3.9826169298871377</v>
      </c>
      <c r="N63" s="55">
        <v>4.7114431847193092</v>
      </c>
      <c r="O63" s="55">
        <v>3.5983307061934293</v>
      </c>
      <c r="P63" s="55">
        <v>4.0006178548636395</v>
      </c>
      <c r="Q63" s="55">
        <v>4.306269700229759</v>
      </c>
      <c r="R63" s="55">
        <v>4.2090297881336678</v>
      </c>
      <c r="S63" s="55">
        <v>3.6700848493607787</v>
      </c>
      <c r="T63" s="55">
        <v>4.3891335150689343</v>
      </c>
      <c r="U63" s="55">
        <v>4.0539805646120435</v>
      </c>
      <c r="V63" s="55">
        <v>4.0270859132088868</v>
      </c>
      <c r="W63" s="55">
        <v>4.1363811629584744</v>
      </c>
      <c r="X63" s="55">
        <f t="shared" ca="1" si="28"/>
        <v>4.0986340153850955</v>
      </c>
      <c r="Y63" s="55">
        <f t="shared" ca="1" si="13"/>
        <v>2.5710330477141206</v>
      </c>
      <c r="Z63" s="55">
        <v>2.4721064720018671</v>
      </c>
      <c r="AA63" s="55">
        <v>2.2175140536561444</v>
      </c>
      <c r="AB63" s="55">
        <v>2.185417644626543</v>
      </c>
      <c r="AC63" s="55">
        <v>2.632739968330672</v>
      </c>
      <c r="AD63" s="55">
        <v>2.7652056896999708</v>
      </c>
      <c r="AE63" s="55">
        <v>2.5897745212550705</v>
      </c>
      <c r="AF63" s="55">
        <v>2.6100946720520488</v>
      </c>
      <c r="AG63" s="55">
        <v>2.7115785373551602</v>
      </c>
      <c r="AH63" s="55">
        <v>2.9763305966640794</v>
      </c>
      <c r="AI63" s="55">
        <v>2.4892742864919559</v>
      </c>
      <c r="AJ63" s="55">
        <f t="shared" ca="1" si="29"/>
        <v>2.5655517718043304</v>
      </c>
      <c r="AK63" s="55">
        <f t="shared" ca="1" si="41"/>
        <v>1.6595328890023624E-2</v>
      </c>
      <c r="AL63" s="55">
        <f t="shared" ca="1" si="42"/>
        <v>6.8018179485153818E-2</v>
      </c>
      <c r="AM63" s="55">
        <f t="shared" ca="1" si="42"/>
        <v>0.13939081205121004</v>
      </c>
      <c r="AN63" s="55">
        <f t="shared" ca="1" si="42"/>
        <v>0.19043730790174679</v>
      </c>
      <c r="AO63" s="55">
        <f t="shared" ca="1" si="42"/>
        <v>0.19513320699111603</v>
      </c>
      <c r="AP63" s="55">
        <f t="shared" ca="1" si="42"/>
        <v>0.15995591994099376</v>
      </c>
      <c r="AQ63" s="55">
        <f t="shared" ca="1" si="40"/>
        <v>7.1206180569720764E-2</v>
      </c>
      <c r="AR63" s="55">
        <f t="shared" ca="1" si="40"/>
        <v>0.13877361851022424</v>
      </c>
      <c r="AS63" s="55">
        <f t="shared" ca="1" si="40"/>
        <v>0.21636455757449158</v>
      </c>
      <c r="AT63" s="55">
        <f t="shared" ca="1" si="40"/>
        <v>0.25300353703911915</v>
      </c>
      <c r="AU63" s="55">
        <f t="shared" ca="1" si="40"/>
        <v>0.19723128554227845</v>
      </c>
      <c r="AV63" s="55">
        <f t="shared" ca="1" si="40"/>
        <v>7.6876751313253514E-2</v>
      </c>
      <c r="AW63" s="55">
        <f t="shared" ca="1" si="31"/>
        <v>0.19513320699111603</v>
      </c>
      <c r="AX63" s="55">
        <f t="shared" ca="1" si="32"/>
        <v>0.25300353703911915</v>
      </c>
      <c r="AY63" s="54">
        <f t="shared" ca="1" si="33"/>
        <v>4</v>
      </c>
      <c r="AZ63" s="54">
        <f t="shared" ca="1" si="34"/>
        <v>2</v>
      </c>
      <c r="BA63" s="54" t="str">
        <f t="shared" si="35"/>
        <v>NorthEast UnitedOdisha</v>
      </c>
      <c r="BB63" s="54">
        <f t="shared" si="19"/>
        <v>0</v>
      </c>
      <c r="BC63" s="54">
        <f t="shared" si="20"/>
        <v>3</v>
      </c>
      <c r="BD63" s="54">
        <f t="shared" si="21"/>
        <v>2</v>
      </c>
      <c r="BE63" s="54" t="str">
        <f t="shared" si="36"/>
        <v>HL</v>
      </c>
      <c r="BF63" s="55" t="str">
        <f t="shared" si="37"/>
        <v>AW</v>
      </c>
      <c r="BG63" s="86">
        <f t="shared" ca="1" si="38"/>
        <v>0.43001681984304985</v>
      </c>
      <c r="BH63" s="86">
        <f t="shared" ca="1" si="39"/>
        <v>0.12963055164586815</v>
      </c>
      <c r="BI63" s="87">
        <f t="shared" ca="1" si="22"/>
        <v>0.44035262851108203</v>
      </c>
    </row>
    <row r="64" spans="1:61" x14ac:dyDescent="0.2">
      <c r="A64" s="52">
        <f>'ISL 8'!B65</f>
        <v>44578</v>
      </c>
      <c r="B64" s="54">
        <f>'ISL 8'!C65</f>
        <v>62</v>
      </c>
      <c r="C64" s="54" t="str">
        <f>'ISL 8'!D65</f>
        <v>Goa</v>
      </c>
      <c r="D64" s="54">
        <f>IF('ISL 8'!E65&lt;&gt;"",'ISL 8'!E65,INDEX($AK$2:$AP$2,,MATCH($AW64,AK64:AP64,0)))</f>
        <v>1</v>
      </c>
      <c r="E64" s="54" t="str">
        <f>'ISL 8'!G65</f>
        <v>East Bengal</v>
      </c>
      <c r="F64" s="54">
        <f>IF('ISL 8'!F65&lt;&gt;"",'ISL 8'!F65,INDEX($AQ$2:$AV$2,,MATCH($AX64,AQ64:AV64,0)))</f>
        <v>2</v>
      </c>
      <c r="G64" s="55">
        <f>VLOOKUP($C64,'ISL Total'!$D$5:$AH$15,25,0)</f>
        <v>1.7934931050517995</v>
      </c>
      <c r="H64" s="55">
        <f>VLOOKUP($C64,'ISL Total'!$D$5:$AH$15,28,0)</f>
        <v>2.0847265162792477</v>
      </c>
      <c r="I64" s="55">
        <f>VLOOKUP($E64,'ISL Total'!$D$5:$AH$15,26,0)</f>
        <v>2.2664839306843771</v>
      </c>
      <c r="J64" s="55">
        <f>VLOOKUP(E64,'ISL Total'!$D$5:$AH$15,29,0)</f>
        <v>2.3205343227457229</v>
      </c>
      <c r="K64" s="55">
        <f t="shared" si="26"/>
        <v>5.9589922563907551</v>
      </c>
      <c r="L64" s="55">
        <f t="shared" si="27"/>
        <v>6.3295217314612575</v>
      </c>
      <c r="M64" s="55">
        <f t="shared" ca="1" si="11"/>
        <v>5.918329263107708</v>
      </c>
      <c r="N64" s="55">
        <v>5.7621069242846641</v>
      </c>
      <c r="O64" s="55">
        <v>6.077525739606414</v>
      </c>
      <c r="P64" s="55">
        <v>6.0991865866539277</v>
      </c>
      <c r="Q64" s="55">
        <v>6.4297279468989998</v>
      </c>
      <c r="R64" s="55">
        <v>5.503811027149327</v>
      </c>
      <c r="S64" s="55">
        <v>5.9909175758140005</v>
      </c>
      <c r="T64" s="55">
        <v>5.8671625234660612</v>
      </c>
      <c r="U64" s="55">
        <v>5.7149865915870821</v>
      </c>
      <c r="V64" s="55">
        <v>5.6244189241156226</v>
      </c>
      <c r="W64" s="55">
        <v>5.9242266139155539</v>
      </c>
      <c r="X64" s="55">
        <f t="shared" ca="1" si="28"/>
        <v>5.9011272469635792</v>
      </c>
      <c r="Y64" s="55">
        <f t="shared" ca="1" si="13"/>
        <v>6.7100717647070738</v>
      </c>
      <c r="Z64" s="55">
        <v>6.2393541559407391</v>
      </c>
      <c r="AA64" s="55">
        <v>6.1836215710553555</v>
      </c>
      <c r="AB64" s="55">
        <v>6.4490660234041624</v>
      </c>
      <c r="AC64" s="55">
        <v>6.3774528841544287</v>
      </c>
      <c r="AD64" s="55">
        <v>6.3056565609264021</v>
      </c>
      <c r="AE64" s="55">
        <v>6.8540483457496171</v>
      </c>
      <c r="AF64" s="55">
        <v>6.5999134250914793</v>
      </c>
      <c r="AG64" s="55">
        <v>6.2538330176445598</v>
      </c>
      <c r="AH64" s="55">
        <v>6.2266452773030441</v>
      </c>
      <c r="AI64" s="55">
        <v>6.3937121394932346</v>
      </c>
      <c r="AJ64" s="55">
        <f t="shared" ca="1" si="29"/>
        <v>6.4175795604972814</v>
      </c>
      <c r="AK64" s="55">
        <f t="shared" ca="1" si="41"/>
        <v>2.7363585277474199E-3</v>
      </c>
      <c r="AL64" s="55">
        <f t="shared" ca="1" si="42"/>
        <v>1.6147599865551445E-2</v>
      </c>
      <c r="AM64" s="55">
        <f t="shared" ca="1" si="42"/>
        <v>4.7644520769835531E-2</v>
      </c>
      <c r="AN64" s="55">
        <f t="shared" ca="1" si="42"/>
        <v>9.3718793227799538E-2</v>
      </c>
      <c r="AO64" s="55">
        <f t="shared" ca="1" si="42"/>
        <v>0.13826163106727843</v>
      </c>
      <c r="AP64" s="55">
        <f t="shared" ca="1" si="42"/>
        <v>0.16317989566014854</v>
      </c>
      <c r="AQ64" s="55">
        <f t="shared" ca="1" si="40"/>
        <v>0.14810020882159447</v>
      </c>
      <c r="AR64" s="55">
        <f t="shared" ca="1" si="40"/>
        <v>0.11538634420148784</v>
      </c>
      <c r="AS64" s="55">
        <f t="shared" ca="1" si="40"/>
        <v>7.1918917787469908E-2</v>
      </c>
      <c r="AT64" s="55">
        <f t="shared" ca="1" si="40"/>
        <v>3.361964605635389E-2</v>
      </c>
      <c r="AU64" s="55">
        <f t="shared" ca="1" si="40"/>
        <v>1.047736011355309E-2</v>
      </c>
      <c r="AV64" s="55">
        <f t="shared" ca="1" si="40"/>
        <v>1.6326030732903335E-3</v>
      </c>
      <c r="AW64" s="55">
        <f t="shared" ca="1" si="31"/>
        <v>0.16317989566014854</v>
      </c>
      <c r="AX64" s="55">
        <f t="shared" ca="1" si="32"/>
        <v>0.14810020882159447</v>
      </c>
      <c r="AY64" s="54">
        <f t="shared" ca="1" si="33"/>
        <v>5</v>
      </c>
      <c r="AZ64" s="54">
        <f t="shared" ca="1" si="34"/>
        <v>5</v>
      </c>
      <c r="BA64" s="54" t="str">
        <f t="shared" si="35"/>
        <v>GoaEast Bengal</v>
      </c>
      <c r="BB64" s="54">
        <f t="shared" si="19"/>
        <v>0</v>
      </c>
      <c r="BC64" s="54">
        <f t="shared" si="20"/>
        <v>3</v>
      </c>
      <c r="BD64" s="54">
        <f t="shared" si="21"/>
        <v>1</v>
      </c>
      <c r="BE64" s="54" t="str">
        <f t="shared" si="36"/>
        <v>HL</v>
      </c>
      <c r="BF64" s="55" t="str">
        <f t="shared" si="37"/>
        <v>AW</v>
      </c>
      <c r="BG64" s="86">
        <f t="shared" ca="1" si="38"/>
        <v>5.9181943019557606E-2</v>
      </c>
      <c r="BH64" s="86">
        <f t="shared" ca="1" si="39"/>
        <v>4.8636078491142556E-2</v>
      </c>
      <c r="BI64" s="87">
        <f t="shared" ca="1" si="22"/>
        <v>0.89218197848929981</v>
      </c>
    </row>
    <row r="65" spans="1:61" x14ac:dyDescent="0.2">
      <c r="A65" s="52">
        <f>'ISL 8'!B66</f>
        <v>44579</v>
      </c>
      <c r="B65" s="54">
        <f>'ISL 8'!C66</f>
        <v>63</v>
      </c>
      <c r="C65" s="54" t="str">
        <f>'ISL 8'!D66</f>
        <v>Chennaiyin</v>
      </c>
      <c r="D65" s="54">
        <f>IF('ISL 8'!E66&lt;&gt;"",'ISL 8'!E66,INDEX($AK$2:$AP$2,,MATCH($AW65,AK65:AP65,0)))</f>
        <v>2</v>
      </c>
      <c r="E65" s="54" t="str">
        <f>'ISL 8'!G66</f>
        <v>NorthEast United</v>
      </c>
      <c r="F65" s="54">
        <f>IF('ISL 8'!F66&lt;&gt;"",'ISL 8'!F66,INDEX($AQ$2:$AV$2,,MATCH($AX65,AQ65:AV65,0)))</f>
        <v>1</v>
      </c>
      <c r="G65" s="55">
        <f>VLOOKUP($C65,'ISL Total'!$D$5:$AH$15,25,0)</f>
        <v>1.6923160070404248</v>
      </c>
      <c r="H65" s="55">
        <f>VLOOKUP($C65,'ISL Total'!$D$5:$AH$15,28,0)</f>
        <v>2.1914366960571012</v>
      </c>
      <c r="I65" s="55">
        <f>VLOOKUP($E65,'ISL Total'!$D$5:$AH$15,26,0)</f>
        <v>1.8614679949616395</v>
      </c>
      <c r="J65" s="55">
        <f>VLOOKUP(E65,'ISL Total'!$D$5:$AH$15,29,0)</f>
        <v>2.7778362426875027</v>
      </c>
      <c r="K65" s="55">
        <f t="shared" si="26"/>
        <v>6.7309011950676059</v>
      </c>
      <c r="L65" s="55">
        <f t="shared" si="27"/>
        <v>5.4645406879706186</v>
      </c>
      <c r="M65" s="55">
        <f t="shared" ca="1" si="11"/>
        <v>6.4594198058719963</v>
      </c>
      <c r="N65" s="55">
        <v>6.4013685244621277</v>
      </c>
      <c r="O65" s="55">
        <v>7.2073727490643309</v>
      </c>
      <c r="P65" s="55">
        <v>6.5191691585156537</v>
      </c>
      <c r="Q65" s="55">
        <v>6.7632532240712342</v>
      </c>
      <c r="R65" s="55">
        <v>6.772302072129583</v>
      </c>
      <c r="S65" s="55">
        <v>6.4104464157534524</v>
      </c>
      <c r="T65" s="55">
        <v>6.7312223741710016</v>
      </c>
      <c r="U65" s="55">
        <v>6.292460464669027</v>
      </c>
      <c r="V65" s="55">
        <v>6.4445088602937357</v>
      </c>
      <c r="W65" s="55">
        <v>7.1839421227225433</v>
      </c>
      <c r="X65" s="55">
        <f t="shared" ca="1" si="28"/>
        <v>6.6532241610658813</v>
      </c>
      <c r="Y65" s="55">
        <f t="shared" ca="1" si="13"/>
        <v>5.4754727526017284</v>
      </c>
      <c r="Z65" s="55">
        <v>5.6448751994865178</v>
      </c>
      <c r="AA65" s="55">
        <v>5.5676760501456464</v>
      </c>
      <c r="AB65" s="55">
        <v>5.4718499899089243</v>
      </c>
      <c r="AC65" s="55">
        <v>5.4008697223438054</v>
      </c>
      <c r="AD65" s="55">
        <v>5.7225051364748722</v>
      </c>
      <c r="AE65" s="55">
        <v>5.6209346125655539</v>
      </c>
      <c r="AF65" s="55">
        <v>5.3130293848794521</v>
      </c>
      <c r="AG65" s="55">
        <v>5.2368158219797305</v>
      </c>
      <c r="AH65" s="55">
        <v>5.0505099177086032</v>
      </c>
      <c r="AI65" s="55">
        <v>5.1487120372186368</v>
      </c>
      <c r="AJ65" s="55">
        <f t="shared" ca="1" si="29"/>
        <v>5.4230227841194072</v>
      </c>
      <c r="AK65" s="55">
        <f t="shared" ca="1" si="41"/>
        <v>1.2898566883711919E-3</v>
      </c>
      <c r="AL65" s="55">
        <f t="shared" ca="1" si="42"/>
        <v>8.5817056833836381E-3</v>
      </c>
      <c r="AM65" s="55">
        <f t="shared" ca="1" si="42"/>
        <v>2.8548005797922216E-2</v>
      </c>
      <c r="AN65" s="55">
        <f t="shared" ca="1" si="42"/>
        <v>6.3312093974994946E-2</v>
      </c>
      <c r="AO65" s="55">
        <f t="shared" ca="1" si="42"/>
        <v>0.10530738833052759</v>
      </c>
      <c r="AP65" s="55">
        <f t="shared" ca="1" si="42"/>
        <v>0.14012673207588264</v>
      </c>
      <c r="AQ65" s="55">
        <f t="shared" ca="1" si="40"/>
        <v>0.17251903845977096</v>
      </c>
      <c r="AR65" s="55">
        <f t="shared" ca="1" si="40"/>
        <v>0.15906169430540637</v>
      </c>
      <c r="AS65" s="55">
        <f t="shared" ca="1" si="40"/>
        <v>0.1173232720107296</v>
      </c>
      <c r="AT65" s="55">
        <f t="shared" ca="1" si="40"/>
        <v>6.4902883510444612E-2</v>
      </c>
      <c r="AU65" s="55">
        <f t="shared" ca="1" si="40"/>
        <v>2.3936054150649692E-2</v>
      </c>
      <c r="AV65" s="55">
        <f t="shared" ca="1" si="40"/>
        <v>4.4137845448009565E-3</v>
      </c>
      <c r="AW65" s="55">
        <f t="shared" ca="1" si="31"/>
        <v>0.14012673207588264</v>
      </c>
      <c r="AX65" s="55">
        <f t="shared" ca="1" si="32"/>
        <v>0.17251903845977096</v>
      </c>
      <c r="AY65" s="54">
        <f t="shared" ca="1" si="33"/>
        <v>5</v>
      </c>
      <c r="AZ65" s="54">
        <f t="shared" ca="1" si="34"/>
        <v>5</v>
      </c>
      <c r="BA65" s="54" t="str">
        <f t="shared" si="35"/>
        <v>ChennaiyinNorthEast United</v>
      </c>
      <c r="BB65" s="54">
        <f t="shared" si="19"/>
        <v>3</v>
      </c>
      <c r="BC65" s="54">
        <f t="shared" si="20"/>
        <v>0</v>
      </c>
      <c r="BD65" s="54">
        <f t="shared" si="21"/>
        <v>1</v>
      </c>
      <c r="BE65" s="54" t="str">
        <f t="shared" si="36"/>
        <v>HW</v>
      </c>
      <c r="BF65" s="55" t="str">
        <f t="shared" si="37"/>
        <v>AL</v>
      </c>
      <c r="BG65" s="86">
        <f t="shared" ca="1" si="38"/>
        <v>8.0722563611817247E-2</v>
      </c>
      <c r="BH65" s="86">
        <f t="shared" ca="1" si="39"/>
        <v>5.0416835930186116E-2</v>
      </c>
      <c r="BI65" s="87">
        <f t="shared" ca="1" si="22"/>
        <v>0.86886060045799662</v>
      </c>
    </row>
    <row r="66" spans="1:61" x14ac:dyDescent="0.2">
      <c r="A66" s="52">
        <f>'ISL 8'!B67</f>
        <v>44580</v>
      </c>
      <c r="B66" s="54">
        <f>'ISL 8'!C67</f>
        <v>64</v>
      </c>
      <c r="C66" s="54" t="str">
        <f>'ISL 8'!D67</f>
        <v>ATK-MB</v>
      </c>
      <c r="D66" s="54">
        <f>IF('ISL 8'!E67&lt;&gt;"",'ISL 8'!E67,INDEX($AK$2:$AP$2,,MATCH($AW66,AK66:AP66,0)))</f>
        <v>0</v>
      </c>
      <c r="E66" s="54" t="str">
        <f>'ISL 8'!G67</f>
        <v>Odisha</v>
      </c>
      <c r="F66" s="54">
        <f>IF('ISL 8'!F67&lt;&gt;"",'ISL 8'!F67,INDEX($AQ$2:$AV$2,,MATCH($AX66,AQ66:AV66,0)))</f>
        <v>0</v>
      </c>
      <c r="G66" s="55">
        <f>VLOOKUP($C66,'ISL Total'!$D$5:$AH$15,25,0)</f>
        <v>2.0695986245708529</v>
      </c>
      <c r="H66" s="55">
        <f>VLOOKUP($C66,'ISL Total'!$D$5:$AH$15,28,0)</f>
        <v>1.8323600137409826</v>
      </c>
      <c r="I66" s="55">
        <f>VLOOKUP($E66,'ISL Total'!$D$5:$AH$15,26,0)</f>
        <v>0.79788732394366213</v>
      </c>
      <c r="J66" s="55">
        <f>VLOOKUP(E66,'ISL Total'!$D$5:$AH$15,29,0)</f>
        <v>1.3928240740740743</v>
      </c>
      <c r="K66" s="55">
        <f t="shared" si="26"/>
        <v>4.1273139467827571</v>
      </c>
      <c r="L66" s="55">
        <f t="shared" si="27"/>
        <v>1.9584907831479288</v>
      </c>
      <c r="M66" s="55">
        <f t="shared" ca="1" si="11"/>
        <v>3.6681335773286712</v>
      </c>
      <c r="N66" s="55">
        <v>4.0853088546163567</v>
      </c>
      <c r="O66" s="55">
        <v>3.9317092128635922</v>
      </c>
      <c r="P66" s="55">
        <v>3.4988667732171534</v>
      </c>
      <c r="Q66" s="55">
        <v>3.9978991534884689</v>
      </c>
      <c r="R66" s="55">
        <v>4.0490803078689011</v>
      </c>
      <c r="S66" s="55">
        <v>4.1192732733420891</v>
      </c>
      <c r="T66" s="55">
        <v>4.1680046755769853</v>
      </c>
      <c r="U66" s="55">
        <v>4.7248173276386733</v>
      </c>
      <c r="V66" s="55">
        <v>3.5578686325162421</v>
      </c>
      <c r="W66" s="55">
        <v>3.9342876549552401</v>
      </c>
      <c r="X66" s="55">
        <f t="shared" ca="1" si="28"/>
        <v>3.9759317675829426</v>
      </c>
      <c r="Y66" s="55">
        <f t="shared" ca="1" si="13"/>
        <v>1.9728771531508578</v>
      </c>
      <c r="Z66" s="55">
        <v>2.3545439832131256</v>
      </c>
      <c r="AA66" s="55">
        <v>2.1260603027453526</v>
      </c>
      <c r="AB66" s="55">
        <v>1.6012582932588795</v>
      </c>
      <c r="AC66" s="55">
        <v>2.0978434918675886</v>
      </c>
      <c r="AD66" s="55">
        <v>2.2440649233843928</v>
      </c>
      <c r="AE66" s="55">
        <v>2.257224049351279</v>
      </c>
      <c r="AF66" s="55">
        <v>2.1890393141077369</v>
      </c>
      <c r="AG66" s="55">
        <v>1.8845502468464113</v>
      </c>
      <c r="AH66" s="55">
        <v>1.9621501758208173</v>
      </c>
      <c r="AI66" s="55">
        <v>1.985985534046449</v>
      </c>
      <c r="AJ66" s="55">
        <f t="shared" ca="1" si="29"/>
        <v>2.0614179516175359</v>
      </c>
      <c r="AK66" s="55">
        <f t="shared" ca="1" si="41"/>
        <v>1.8761811699798677E-2</v>
      </c>
      <c r="AL66" s="55">
        <f t="shared" ca="1" si="42"/>
        <v>7.4595683154638881E-2</v>
      </c>
      <c r="AM66" s="55">
        <f t="shared" ca="1" si="42"/>
        <v>0.14829367318954026</v>
      </c>
      <c r="AN66" s="55">
        <f t="shared" ca="1" si="42"/>
        <v>0.19653517538861867</v>
      </c>
      <c r="AO66" s="55">
        <f t="shared" ca="1" si="42"/>
        <v>0.19535261181877361</v>
      </c>
      <c r="AP66" s="55">
        <f t="shared" ca="1" si="42"/>
        <v>0.15534173104211221</v>
      </c>
      <c r="AQ66" s="55">
        <f t="shared" ca="1" si="40"/>
        <v>3.9480857918637161E-2</v>
      </c>
      <c r="AR66" s="55">
        <f t="shared" ca="1" si="40"/>
        <v>9.5761409974279232E-2</v>
      </c>
      <c r="AS66" s="55">
        <f t="shared" ca="1" si="40"/>
        <v>0.18581658299645246</v>
      </c>
      <c r="AT66" s="55">
        <f t="shared" ca="1" si="40"/>
        <v>0.27042053677273087</v>
      </c>
      <c r="AU66" s="55">
        <f t="shared" ca="1" si="40"/>
        <v>0.26236361875139341</v>
      </c>
      <c r="AV66" s="55">
        <f t="shared" ca="1" si="40"/>
        <v>0.12727337440014247</v>
      </c>
      <c r="AW66" s="55">
        <f t="shared" ca="1" si="31"/>
        <v>0.19653517538861867</v>
      </c>
      <c r="AX66" s="55">
        <f t="shared" ca="1" si="32"/>
        <v>0.27042053677273087</v>
      </c>
      <c r="AY66" s="54">
        <f t="shared" ca="1" si="33"/>
        <v>3</v>
      </c>
      <c r="AZ66" s="54">
        <f t="shared" ca="1" si="34"/>
        <v>2</v>
      </c>
      <c r="BA66" s="54" t="str">
        <f t="shared" si="35"/>
        <v>ATK-MBOdisha</v>
      </c>
      <c r="BB66" s="54">
        <f t="shared" si="19"/>
        <v>1</v>
      </c>
      <c r="BC66" s="54">
        <f t="shared" si="20"/>
        <v>1</v>
      </c>
      <c r="BD66" s="54">
        <f t="shared" si="21"/>
        <v>0</v>
      </c>
      <c r="BE66" s="54" t="str">
        <f t="shared" si="36"/>
        <v>HD</v>
      </c>
      <c r="BF66" s="55" t="str">
        <f t="shared" si="37"/>
        <v>AD</v>
      </c>
      <c r="BG66" s="86">
        <f t="shared" ca="1" si="38"/>
        <v>0.50851827701219232</v>
      </c>
      <c r="BH66" s="86">
        <f t="shared" ca="1" si="39"/>
        <v>0.12342048825584648</v>
      </c>
      <c r="BI66" s="87">
        <f t="shared" ca="1" si="22"/>
        <v>0.36806123473196117</v>
      </c>
    </row>
    <row r="67" spans="1:61" x14ac:dyDescent="0.2">
      <c r="A67" s="52">
        <f>'ISL 8'!B68</f>
        <v>44581</v>
      </c>
      <c r="B67" s="54">
        <f>'ISL 8'!C68</f>
        <v>65</v>
      </c>
      <c r="C67" s="54" t="str">
        <f>'ISL 8'!D68</f>
        <v>Bengaluru</v>
      </c>
      <c r="D67" s="54">
        <f>IF('ISL 8'!E68&lt;&gt;"",'ISL 8'!E68,INDEX($AK$2:$AP$2,,MATCH($AW67,AK67:AP67,0)))</f>
        <v>1</v>
      </c>
      <c r="E67" s="54" t="str">
        <f>'ISL 8'!G68</f>
        <v>Goa</v>
      </c>
      <c r="F67" s="54">
        <f>IF('ISL 8'!F68&lt;&gt;"",'ISL 8'!F68,INDEX($AQ$2:$AV$2,,MATCH($AX67,AQ67:AV67,0)))</f>
        <v>1</v>
      </c>
      <c r="G67" s="55">
        <f>VLOOKUP($C67,'ISL Total'!$D$5:$AH$15,25,0)</f>
        <v>2.2973875558619734</v>
      </c>
      <c r="H67" s="55">
        <f>VLOOKUP($C67,'ISL Total'!$D$5:$AH$15,28,0)</f>
        <v>1.7201477155616627</v>
      </c>
      <c r="I67" s="55">
        <f>VLOOKUP($E67,'ISL Total'!$D$5:$AH$15,26,0)</f>
        <v>2.0171275621206917</v>
      </c>
      <c r="J67" s="55">
        <f>VLOOKUP(E67,'ISL Total'!$D$5:$AH$15,29,0)</f>
        <v>2.2576929605011884</v>
      </c>
      <c r="K67" s="55">
        <f t="shared" si="26"/>
        <v>7.4265012149063532</v>
      </c>
      <c r="L67" s="55">
        <f t="shared" si="27"/>
        <v>4.6480229881266313</v>
      </c>
      <c r="M67" s="55">
        <f t="shared" ca="1" si="11"/>
        <v>7.3999105185776273</v>
      </c>
      <c r="N67" s="55">
        <v>7.491113846922822</v>
      </c>
      <c r="O67" s="55">
        <v>7.0604993422609326</v>
      </c>
      <c r="P67" s="55">
        <v>7.680153118483438</v>
      </c>
      <c r="Q67" s="55">
        <v>7.4434525002573153</v>
      </c>
      <c r="R67" s="55">
        <v>7.317768025303069</v>
      </c>
      <c r="S67" s="55">
        <v>7.5764651883418166</v>
      </c>
      <c r="T67" s="55">
        <v>7.4394292149501702</v>
      </c>
      <c r="U67" s="55">
        <v>7.4480173442023361</v>
      </c>
      <c r="V67" s="55">
        <v>7.8351401920515897</v>
      </c>
      <c r="W67" s="55">
        <v>7.1681526727798035</v>
      </c>
      <c r="X67" s="55">
        <f t="shared" ca="1" si="28"/>
        <v>7.4418274512846274</v>
      </c>
      <c r="Y67" s="55">
        <f t="shared" ca="1" si="13"/>
        <v>4.9097845090764034</v>
      </c>
      <c r="Z67" s="55">
        <v>4.8614173115409329</v>
      </c>
      <c r="AA67" s="55">
        <v>4.7458345764019114</v>
      </c>
      <c r="AB67" s="55">
        <v>5.03966537804257</v>
      </c>
      <c r="AC67" s="55">
        <v>4.8396716092180849</v>
      </c>
      <c r="AD67" s="55">
        <v>4.5379340517744824</v>
      </c>
      <c r="AE67" s="55">
        <v>4.4703046385160494</v>
      </c>
      <c r="AF67" s="55">
        <v>4.8388774747905057</v>
      </c>
      <c r="AG67" s="55">
        <v>4.4453252610189464</v>
      </c>
      <c r="AH67" s="55">
        <v>4.6650048000247697</v>
      </c>
      <c r="AI67" s="55">
        <v>5.0014612178064137</v>
      </c>
      <c r="AJ67" s="55">
        <f t="shared" ca="1" si="29"/>
        <v>4.7595709843828251</v>
      </c>
      <c r="AK67" s="55">
        <f t="shared" ca="1" si="41"/>
        <v>5.8621294250262772E-4</v>
      </c>
      <c r="AL67" s="55">
        <f t="shared" ca="1" si="42"/>
        <v>4.3624955678143919E-3</v>
      </c>
      <c r="AM67" s="55">
        <f t="shared" ca="1" si="42"/>
        <v>1.6232469636334335E-2</v>
      </c>
      <c r="AN67" s="55">
        <f t="shared" ca="1" si="42"/>
        <v>4.0266412713939E-2</v>
      </c>
      <c r="AO67" s="55">
        <f t="shared" ca="1" si="42"/>
        <v>7.4913923874836932E-2</v>
      </c>
      <c r="AP67" s="55">
        <f t="shared" ca="1" si="42"/>
        <v>0.11149929903504162</v>
      </c>
      <c r="AQ67" s="55">
        <f t="shared" ca="1" si="40"/>
        <v>0.17442244926974024</v>
      </c>
      <c r="AR67" s="55">
        <f t="shared" ca="1" si="40"/>
        <v>0.18323337317802149</v>
      </c>
      <c r="AS67" s="55">
        <f t="shared" ca="1" si="40"/>
        <v>0.15399150367060355</v>
      </c>
      <c r="AT67" s="55">
        <f t="shared" ca="1" si="40"/>
        <v>9.7062216852663474E-2</v>
      </c>
      <c r="AU67" s="55">
        <f t="shared" ca="1" si="40"/>
        <v>4.0786120081471811E-2</v>
      </c>
      <c r="AV67" s="55">
        <f t="shared" ca="1" si="40"/>
        <v>8.5692849660819921E-3</v>
      </c>
      <c r="AW67" s="55">
        <f t="shared" ca="1" si="31"/>
        <v>0.11149929903504162</v>
      </c>
      <c r="AX67" s="55">
        <f t="shared" ca="1" si="32"/>
        <v>0.18323337317802149</v>
      </c>
      <c r="AY67" s="54">
        <f t="shared" ref="AY67:AY92" ca="1" si="43">INDEX($AK$2:$AP$2,,MATCH($AW67,AK67:AP67,0))</f>
        <v>5</v>
      </c>
      <c r="AZ67" s="54">
        <f t="shared" ref="AZ67:AZ92" ca="1" si="44">INDEX($AQ$2:$AV$2,,MATCH($AX67,AQ67:AV67,0))</f>
        <v>4</v>
      </c>
      <c r="BA67" s="54" t="str">
        <f t="shared" ref="BA67:BA92" si="45">C67&amp;E67</f>
        <v>BengaluruGoa</v>
      </c>
      <c r="BB67" s="54">
        <f t="shared" si="19"/>
        <v>1</v>
      </c>
      <c r="BC67" s="54">
        <f t="shared" si="20"/>
        <v>1</v>
      </c>
      <c r="BD67" s="54">
        <f t="shared" si="21"/>
        <v>0</v>
      </c>
      <c r="BE67" s="54" t="str">
        <f t="shared" ref="BE67:BE92" si="46">IF(D67&gt;F67,"HW",IF(D67=F67,"HD","HL"))</f>
        <v>HD</v>
      </c>
      <c r="BF67" s="55" t="str">
        <f t="shared" ref="BF67:BF92" si="47">IF(F67&gt;D67,"AW",IF(F67=D67,"AD","AL"))</f>
        <v>AD</v>
      </c>
      <c r="BG67" s="86">
        <f t="shared" ref="BG67:BG92" ca="1" si="48">(SUM(AL67:AP67)*AV67)+(SUM(AM67:AP67)*AU67)+(SUM(AN67:AP67)*AT67)+(SUM(AO67:AP67)*AS67)+(SUM(AP67)*AR67)</f>
        <v>8.3164881931905604E-2</v>
      </c>
      <c r="BH67" s="86">
        <f t="shared" ref="BH67:BH92" ca="1" si="49">(AK67*AV67)+(AL67*AU67)+(AM67*AT67)+(AN67*AS67)+(AO67*AR67)+(AP67*AQ67)</f>
        <v>4.1133909422114645E-2</v>
      </c>
      <c r="BI67" s="87">
        <f t="shared" ca="1" si="22"/>
        <v>0.87570120864597978</v>
      </c>
    </row>
    <row r="68" spans="1:61" x14ac:dyDescent="0.2">
      <c r="A68" s="52">
        <f>'ISL 8'!B69</f>
        <v>44582</v>
      </c>
      <c r="B68" s="54">
        <f>'ISL 8'!C69</f>
        <v>66</v>
      </c>
      <c r="C68" s="54" t="str">
        <f>'ISL 8'!D69</f>
        <v>East Bengal</v>
      </c>
      <c r="D68" s="54">
        <f>IF('ISL 8'!E69&lt;&gt;"",'ISL 8'!E69,INDEX($AK$2:$AP$2,,MATCH($AW68,AK68:AP68,0)))</f>
        <v>0</v>
      </c>
      <c r="E68" s="54" t="str">
        <f>'ISL 8'!G69</f>
        <v>Hyderabad</v>
      </c>
      <c r="F68" s="54">
        <f>IF('ISL 8'!F69&lt;&gt;"",'ISL 8'!F69,INDEX($AQ$2:$AV$2,,MATCH($AX68,AQ68:AV68,0)))</f>
        <v>4</v>
      </c>
      <c r="G68" s="55">
        <f>VLOOKUP($C68,'ISL Total'!$D$5:$AH$15,25,0)</f>
        <v>2.2983657473042753</v>
      </c>
      <c r="H68" s="55">
        <f>VLOOKUP($C68,'ISL Total'!$D$5:$AH$15,28,0)</f>
        <v>2.2682850490476736</v>
      </c>
      <c r="I68" s="55">
        <f>VLOOKUP($E68,'ISL Total'!$D$5:$AH$15,26,0)</f>
        <v>2.2018340394671556</v>
      </c>
      <c r="J68" s="55">
        <f>VLOOKUP(E68,'ISL Total'!$D$5:$AH$15,29,0)</f>
        <v>1.4450563501928062</v>
      </c>
      <c r="K68" s="55">
        <f t="shared" si="26"/>
        <v>4.75542171696135</v>
      </c>
      <c r="L68" s="55">
        <f t="shared" si="27"/>
        <v>6.6903890402090287</v>
      </c>
      <c r="M68" s="55">
        <f t="shared" ref="M68:M112" ca="1" si="50">ABS(NORMINV(RAND(),$K68,$M$2))</f>
        <v>5.182941122623256</v>
      </c>
      <c r="N68" s="55">
        <v>4.631795117170677</v>
      </c>
      <c r="O68" s="55">
        <v>4.9288754460183464</v>
      </c>
      <c r="P68" s="55">
        <v>4.8686705213479318</v>
      </c>
      <c r="Q68" s="55">
        <v>5.0135456106064735</v>
      </c>
      <c r="R68" s="55">
        <v>4.6160555493151572</v>
      </c>
      <c r="S68" s="55">
        <v>4.8600134283063037</v>
      </c>
      <c r="T68" s="55">
        <v>4.8859267923084335</v>
      </c>
      <c r="U68" s="55">
        <v>4.6842565715298266</v>
      </c>
      <c r="V68" s="55">
        <v>4.5166582670699142</v>
      </c>
      <c r="W68" s="55">
        <v>4.2949776338681795</v>
      </c>
      <c r="X68" s="55">
        <f t="shared" ca="1" si="28"/>
        <v>4.7712469145604093</v>
      </c>
      <c r="Y68" s="55">
        <f t="shared" ref="Y68:Y112" ca="1" si="51">ABS(NORMINV(RAND(),$L68,$Y$2))</f>
        <v>6.6260755896110028</v>
      </c>
      <c r="Z68" s="55">
        <v>6.5046808913450649</v>
      </c>
      <c r="AA68" s="55">
        <v>6.4680935058745987</v>
      </c>
      <c r="AB68" s="55">
        <v>6.6367419469491651</v>
      </c>
      <c r="AC68" s="55">
        <v>6.7607250374045993</v>
      </c>
      <c r="AD68" s="55">
        <v>6.215142649908282</v>
      </c>
      <c r="AE68" s="55">
        <v>6.8351486597854443</v>
      </c>
      <c r="AF68" s="55">
        <v>6.7145073385543732</v>
      </c>
      <c r="AG68" s="55">
        <v>6.7174744690429105</v>
      </c>
      <c r="AH68" s="55">
        <v>6.8251699775852659</v>
      </c>
      <c r="AI68" s="55">
        <v>6.279830484188424</v>
      </c>
      <c r="AJ68" s="55">
        <f t="shared" ca="1" si="29"/>
        <v>6.5985082318408299</v>
      </c>
      <c r="AK68" s="55">
        <f t="shared" ca="1" si="41"/>
        <v>8.4698124403449586E-3</v>
      </c>
      <c r="AL68" s="55">
        <f t="shared" ca="1" si="42"/>
        <v>4.0411566472901249E-2</v>
      </c>
      <c r="AM68" s="55">
        <f t="shared" ca="1" si="42"/>
        <v>9.6406780923191507E-2</v>
      </c>
      <c r="AN68" s="55">
        <f t="shared" ca="1" si="42"/>
        <v>0.15332685200749291</v>
      </c>
      <c r="AO68" s="55">
        <f t="shared" ca="1" si="42"/>
        <v>0.1828900673900028</v>
      </c>
      <c r="AP68" s="55">
        <f t="shared" ca="1" si="42"/>
        <v>0.17452273394765921</v>
      </c>
      <c r="AQ68" s="55">
        <f t="shared" ref="AQ68:AV93" ca="1" si="52">_xlfn.POISSON.DIST(AQ$2,$AJ68,0)</f>
        <v>0.14202076714239695</v>
      </c>
      <c r="AR68" s="55">
        <f t="shared" ca="1" si="52"/>
        <v>0.10761581417530222</v>
      </c>
      <c r="AS68" s="55">
        <f t="shared" ca="1" si="52"/>
        <v>6.5236450660776032E-2</v>
      </c>
      <c r="AT68" s="55">
        <f t="shared" ca="1" si="52"/>
        <v>2.9659635951947545E-2</v>
      </c>
      <c r="AU68" s="55">
        <f t="shared" ca="1" si="52"/>
        <v>8.9898003942243156E-3</v>
      </c>
      <c r="AV68" s="55">
        <f t="shared" ca="1" si="52"/>
        <v>1.3623989056866528E-3</v>
      </c>
      <c r="AW68" s="55">
        <f t="shared" ca="1" si="31"/>
        <v>0.1828900673900028</v>
      </c>
      <c r="AX68" s="55">
        <f t="shared" ca="1" si="32"/>
        <v>0.14202076714239695</v>
      </c>
      <c r="AY68" s="54">
        <f t="shared" ca="1" si="43"/>
        <v>4</v>
      </c>
      <c r="AZ68" s="54">
        <f t="shared" ca="1" si="44"/>
        <v>5</v>
      </c>
      <c r="BA68" s="54" t="str">
        <f t="shared" si="45"/>
        <v>East BengalHyderabad</v>
      </c>
      <c r="BB68" s="54">
        <f t="shared" ref="BB68:BB92" si="53">IF(COUNT(D68),IF(D68&gt;F68,3,IF(D68=F68,1,0)),"")</f>
        <v>0</v>
      </c>
      <c r="BC68" s="54">
        <f t="shared" ref="BC68:BC92" si="54">IF(COUNT(F68),IF(F68&gt;D68,3,IF(F68=D68,1,0)),"")</f>
        <v>3</v>
      </c>
      <c r="BD68" s="54">
        <f t="shared" ref="BD68:BD92" si="55">ABS(D68-F68)</f>
        <v>4</v>
      </c>
      <c r="BE68" s="54" t="str">
        <f t="shared" si="46"/>
        <v>HL</v>
      </c>
      <c r="BF68" s="55" t="str">
        <f t="shared" si="47"/>
        <v>AW</v>
      </c>
      <c r="BG68" s="86">
        <f t="shared" ca="1" si="48"/>
        <v>6.3586458436028295E-2</v>
      </c>
      <c r="BH68" s="86">
        <f t="shared" ca="1" si="49"/>
        <v>5.7704436886635395E-2</v>
      </c>
      <c r="BI68" s="87">
        <f t="shared" ref="BI68:BI92" ca="1" si="56">100%-(BG68+BH68)</f>
        <v>0.87870910467733632</v>
      </c>
    </row>
    <row r="69" spans="1:61" x14ac:dyDescent="0.2">
      <c r="A69" s="52">
        <f>'ISL 8'!B70</f>
        <v>44583</v>
      </c>
      <c r="B69" s="54">
        <f>'ISL 8'!C70</f>
        <v>67</v>
      </c>
      <c r="C69" s="54" t="str">
        <f>'ISL 8'!D70</f>
        <v>Mumbai City</v>
      </c>
      <c r="D69" s="54">
        <f>IF('ISL 8'!E70&lt;&gt;"",'ISL 8'!E70,INDEX($AK$2:$AP$2,,MATCH($AW69,AK69:AP69,0)))</f>
        <v>1</v>
      </c>
      <c r="E69" s="54" t="str">
        <f>'ISL 8'!G70</f>
        <v>NorthEast United</v>
      </c>
      <c r="F69" s="54">
        <f>IF('ISL 8'!F70&lt;&gt;"",'ISL 8'!F70,INDEX($AQ$2:$AV$2,,MATCH($AX69,AQ69:AV69,0)))</f>
        <v>1</v>
      </c>
      <c r="G69" s="55">
        <f>VLOOKUP($C69,'ISL Total'!$D$5:$AH$15,25,0)</f>
        <v>1.711666848062984</v>
      </c>
      <c r="H69" s="55">
        <f>VLOOKUP($C69,'ISL Total'!$D$5:$AH$15,28,0)</f>
        <v>2.0663350700408412</v>
      </c>
      <c r="I69" s="55">
        <f>VLOOKUP($E69,'ISL Total'!$D$5:$AH$15,26,0)</f>
        <v>1.8614679949616395</v>
      </c>
      <c r="J69" s="55">
        <f>VLOOKUP(E69,'ISL Total'!$D$5:$AH$15,29,0)</f>
        <v>2.7778362426875027</v>
      </c>
      <c r="K69" s="55">
        <f t="shared" si="26"/>
        <v>6.8078658981268703</v>
      </c>
      <c r="L69" s="55">
        <f t="shared" si="27"/>
        <v>5.1525887494422866</v>
      </c>
      <c r="M69" s="55">
        <f t="shared" ca="1" si="50"/>
        <v>6.6486112350560331</v>
      </c>
      <c r="N69" s="55">
        <v>6.8231844268421558</v>
      </c>
      <c r="O69" s="55">
        <v>6.5957990060585887</v>
      </c>
      <c r="P69" s="55">
        <v>6.7918602844872256</v>
      </c>
      <c r="Q69" s="55">
        <v>7.1958789750259315</v>
      </c>
      <c r="R69" s="55">
        <v>6.9740239414878422</v>
      </c>
      <c r="S69" s="55">
        <v>7.1257192699218912</v>
      </c>
      <c r="T69" s="55">
        <v>6.9409535012657724</v>
      </c>
      <c r="U69" s="55">
        <v>6.9463216607360154</v>
      </c>
      <c r="V69" s="55">
        <v>7.2167200354750003</v>
      </c>
      <c r="W69" s="55">
        <v>6.6388333614232451</v>
      </c>
      <c r="X69" s="55">
        <f t="shared" ca="1" si="28"/>
        <v>6.899809608889063</v>
      </c>
      <c r="Y69" s="55">
        <f t="shared" ca="1" si="51"/>
        <v>4.7899443391097272</v>
      </c>
      <c r="Z69" s="55">
        <v>5.3442292219770016</v>
      </c>
      <c r="AA69" s="55">
        <v>5.2183197533655781</v>
      </c>
      <c r="AB69" s="55">
        <v>4.9479671287376465</v>
      </c>
      <c r="AC69" s="55">
        <v>5.4143552465358669</v>
      </c>
      <c r="AD69" s="55">
        <v>5.125046488480554</v>
      </c>
      <c r="AE69" s="55">
        <v>5.0414410407807866</v>
      </c>
      <c r="AF69" s="55">
        <v>5.4898344943537012</v>
      </c>
      <c r="AG69" s="55">
        <v>5.3221046090335946</v>
      </c>
      <c r="AH69" s="55">
        <v>5.1050875203475918</v>
      </c>
      <c r="AI69" s="55">
        <v>5.1946362727494773</v>
      </c>
      <c r="AJ69" s="55">
        <f t="shared" ca="1" si="29"/>
        <v>5.1811787377701393</v>
      </c>
      <c r="AK69" s="55">
        <f t="shared" ca="1" si="41"/>
        <v>1.0079773207025864E-3</v>
      </c>
      <c r="AL69" s="55">
        <f t="shared" ca="1" si="42"/>
        <v>6.9548516029259572E-3</v>
      </c>
      <c r="AM69" s="55">
        <f t="shared" ca="1" si="42"/>
        <v>2.3993575959133005E-2</v>
      </c>
      <c r="AN69" s="55">
        <f t="shared" ca="1" si="42"/>
        <v>5.5183701984811873E-2</v>
      </c>
      <c r="AO69" s="55">
        <f t="shared" ca="1" si="42"/>
        <v>9.5189259302218845E-2</v>
      </c>
      <c r="AP69" s="55">
        <f t="shared" ca="1" si="42"/>
        <v>0.13135755319929643</v>
      </c>
      <c r="AQ69" s="55">
        <f t="shared" ca="1" si="52"/>
        <v>0.1749058323298818</v>
      </c>
      <c r="AR69" s="55">
        <f t="shared" ca="1" si="52"/>
        <v>0.16878961447019802</v>
      </c>
      <c r="AS69" s="55">
        <f t="shared" ca="1" si="52"/>
        <v>0.13030981791054072</v>
      </c>
      <c r="AT69" s="55">
        <f t="shared" ca="1" si="52"/>
        <v>7.5451837027315005E-2</v>
      </c>
      <c r="AU69" s="55">
        <f t="shared" ca="1" si="52"/>
        <v>2.9125355771759277E-2</v>
      </c>
      <c r="AV69" s="55">
        <f t="shared" ca="1" si="52"/>
        <v>5.6213763789770676E-3</v>
      </c>
      <c r="AW69" s="55">
        <f t="shared" ca="1" si="31"/>
        <v>0.13135755319929643</v>
      </c>
      <c r="AX69" s="55">
        <f t="shared" ca="1" si="32"/>
        <v>0.1749058323298818</v>
      </c>
      <c r="AY69" s="54">
        <f t="shared" ca="1" si="43"/>
        <v>5</v>
      </c>
      <c r="AZ69" s="54">
        <f t="shared" ca="1" si="44"/>
        <v>5</v>
      </c>
      <c r="BA69" s="54" t="str">
        <f t="shared" si="45"/>
        <v>Mumbai CityNorthEast United</v>
      </c>
      <c r="BB69" s="54">
        <f t="shared" si="53"/>
        <v>1</v>
      </c>
      <c r="BC69" s="54">
        <f t="shared" si="54"/>
        <v>1</v>
      </c>
      <c r="BD69" s="54">
        <f t="shared" si="55"/>
        <v>0</v>
      </c>
      <c r="BE69" s="54" t="str">
        <f t="shared" si="46"/>
        <v>HD</v>
      </c>
      <c r="BF69" s="55" t="str">
        <f t="shared" si="47"/>
        <v>AD</v>
      </c>
      <c r="BG69" s="86">
        <f t="shared" ca="1" si="48"/>
        <v>8.3612158433443468E-2</v>
      </c>
      <c r="BH69" s="86">
        <f t="shared" ca="1" si="49"/>
        <v>4.8251726841882434E-2</v>
      </c>
      <c r="BI69" s="87">
        <f t="shared" ca="1" si="56"/>
        <v>0.86813611472467411</v>
      </c>
    </row>
    <row r="70" spans="1:61" x14ac:dyDescent="0.2">
      <c r="A70" s="52">
        <f>'ISL 8'!B71</f>
        <v>44584</v>
      </c>
      <c r="B70" s="54">
        <f>'ISL 8'!C71</f>
        <v>68</v>
      </c>
      <c r="C70" s="54" t="str">
        <f>'ISL 8'!D71</f>
        <v>Bengaluru</v>
      </c>
      <c r="D70" s="54">
        <f>IF('ISL 8'!E71&lt;&gt;"",'ISL 8'!E71,INDEX($AK$2:$AP$2,,MATCH($AW70,AK70:AP70,0)))</f>
        <v>3</v>
      </c>
      <c r="E70" s="54" t="str">
        <f>'ISL 8'!G71</f>
        <v>Chennaiyin</v>
      </c>
      <c r="F70" s="54">
        <f>IF('ISL 8'!F71&lt;&gt;"",'ISL 8'!F71,INDEX($AQ$2:$AV$2,,MATCH($AX70,AQ70:AV70,0)))</f>
        <v>0</v>
      </c>
      <c r="G70" s="55">
        <f>VLOOKUP($C70,'ISL Total'!$D$5:$AH$15,25,0)</f>
        <v>2.2973875558619734</v>
      </c>
      <c r="H70" s="55">
        <f>VLOOKUP($C70,'ISL Total'!$D$5:$AH$15,28,0)</f>
        <v>1.7201477155616627</v>
      </c>
      <c r="I70" s="55">
        <f>VLOOKUP($E70,'ISL Total'!$D$5:$AH$15,26,0)</f>
        <v>1.4832889614107407</v>
      </c>
      <c r="J70" s="55">
        <f>VLOOKUP(E70,'ISL Total'!$D$5:$AH$15,29,0)</f>
        <v>1.6817905576540886</v>
      </c>
      <c r="K70" s="55">
        <f t="shared" si="26"/>
        <v>5.5321161194848605</v>
      </c>
      <c r="L70" s="55">
        <f t="shared" si="27"/>
        <v>3.4179103593345701</v>
      </c>
      <c r="M70" s="55">
        <f t="shared" ca="1" si="50"/>
        <v>5.7829399278469307</v>
      </c>
      <c r="N70" s="55">
        <v>5.6047177989627688</v>
      </c>
      <c r="O70" s="55">
        <v>5.2793714375439915</v>
      </c>
      <c r="P70" s="55">
        <v>5.5033152769520113</v>
      </c>
      <c r="Q70" s="55">
        <v>5.592338151568268</v>
      </c>
      <c r="R70" s="55">
        <v>5.236879438863852</v>
      </c>
      <c r="S70" s="55">
        <v>5.4972150831101336</v>
      </c>
      <c r="T70" s="55">
        <v>5.346644401240102</v>
      </c>
      <c r="U70" s="55">
        <v>5.5851863838653921</v>
      </c>
      <c r="V70" s="55">
        <v>5.2927003680213272</v>
      </c>
      <c r="W70" s="55">
        <v>5.2905450490002632</v>
      </c>
      <c r="X70" s="55">
        <f t="shared" ca="1" si="28"/>
        <v>5.4556230288159133</v>
      </c>
      <c r="Y70" s="55">
        <f t="shared" ca="1" si="51"/>
        <v>3.5048157214212514</v>
      </c>
      <c r="Z70" s="55">
        <v>3.4820239286743768</v>
      </c>
      <c r="AA70" s="55">
        <v>3.4770137799204606</v>
      </c>
      <c r="AB70" s="55">
        <v>3.9454961384824405</v>
      </c>
      <c r="AC70" s="55">
        <v>3.4583872476120794</v>
      </c>
      <c r="AD70" s="55">
        <v>3.2706417501794824</v>
      </c>
      <c r="AE70" s="55">
        <v>3.2188201979051132</v>
      </c>
      <c r="AF70" s="55">
        <v>3.4622720156518048</v>
      </c>
      <c r="AG70" s="55">
        <v>3.4509984532064486</v>
      </c>
      <c r="AH70" s="55">
        <v>3.3177311695824208</v>
      </c>
      <c r="AI70" s="55">
        <v>3.2944927372213644</v>
      </c>
      <c r="AJ70" s="55">
        <f t="shared" ca="1" si="29"/>
        <v>3.4438811945324761</v>
      </c>
      <c r="AK70" s="55">
        <f t="shared" ca="1" si="41"/>
        <v>4.2722142397994441E-3</v>
      </c>
      <c r="AL70" s="55">
        <f t="shared" ca="1" si="42"/>
        <v>2.3307590390685116E-2</v>
      </c>
      <c r="AM70" s="55">
        <f t="shared" ca="1" si="42"/>
        <v>6.3578713440815129E-2</v>
      </c>
      <c r="AN70" s="55">
        <f t="shared" ca="1" si="42"/>
        <v>0.11562049773006627</v>
      </c>
      <c r="AO70" s="55">
        <f t="shared" ca="1" si="42"/>
        <v>0.15769546250482688</v>
      </c>
      <c r="AP70" s="55">
        <f t="shared" ca="1" si="42"/>
        <v>0.17206539935622198</v>
      </c>
      <c r="AQ70" s="55">
        <f t="shared" ca="1" si="52"/>
        <v>0.12894394689216382</v>
      </c>
      <c r="AR70" s="55">
        <f t="shared" ca="1" si="52"/>
        <v>0.18720731002114113</v>
      </c>
      <c r="AS70" s="55">
        <f t="shared" ca="1" si="52"/>
        <v>0.21743759374551297</v>
      </c>
      <c r="AT70" s="55">
        <f t="shared" ca="1" si="52"/>
        <v>0.18941210349304566</v>
      </c>
      <c r="AU70" s="55">
        <f t="shared" ca="1" si="52"/>
        <v>0.10999920891217574</v>
      </c>
      <c r="AV70" s="55">
        <f t="shared" ca="1" si="52"/>
        <v>3.1940477240275031E-2</v>
      </c>
      <c r="AW70" s="55">
        <f t="shared" ca="1" si="31"/>
        <v>0.17206539935622198</v>
      </c>
      <c r="AX70" s="55">
        <f t="shared" ca="1" si="32"/>
        <v>0.21743759374551297</v>
      </c>
      <c r="AY70" s="54">
        <f t="shared" ca="1" si="43"/>
        <v>5</v>
      </c>
      <c r="AZ70" s="54">
        <f t="shared" ca="1" si="44"/>
        <v>3</v>
      </c>
      <c r="BA70" s="54" t="str">
        <f t="shared" si="45"/>
        <v>BengaluruChennaiyin</v>
      </c>
      <c r="BB70" s="54">
        <f t="shared" si="53"/>
        <v>3</v>
      </c>
      <c r="BC70" s="54">
        <f t="shared" si="54"/>
        <v>0</v>
      </c>
      <c r="BD70" s="54">
        <f t="shared" si="55"/>
        <v>3</v>
      </c>
      <c r="BE70" s="54" t="str">
        <f t="shared" si="46"/>
        <v>HW</v>
      </c>
      <c r="BF70" s="55" t="str">
        <f t="shared" si="47"/>
        <v>AL</v>
      </c>
      <c r="BG70" s="86">
        <f t="shared" ca="1" si="48"/>
        <v>0.26126101764313031</v>
      </c>
      <c r="BH70" s="86">
        <f t="shared" ca="1" si="49"/>
        <v>9.1591628785242823E-2</v>
      </c>
      <c r="BI70" s="87">
        <f t="shared" ca="1" si="56"/>
        <v>0.64714735357162689</v>
      </c>
    </row>
    <row r="71" spans="1:61" x14ac:dyDescent="0.2">
      <c r="A71" s="52">
        <f>'ISL 8'!B72</f>
        <v>44585</v>
      </c>
      <c r="B71" s="54">
        <f>'ISL 8'!C72</f>
        <v>69</v>
      </c>
      <c r="C71" s="54" t="str">
        <f>'ISL 8'!D72</f>
        <v>Odisha</v>
      </c>
      <c r="D71" s="54">
        <f>IF('ISL 8'!E72&lt;&gt;"",'ISL 8'!E72,INDEX($AK$2:$AP$2,,MATCH($AW71,AK71:AP71,0)))</f>
        <v>2</v>
      </c>
      <c r="E71" s="54" t="str">
        <f>'ISL 8'!G72</f>
        <v>Hyderabad</v>
      </c>
      <c r="F71" s="54">
        <f>IF('ISL 8'!F72&lt;&gt;"",'ISL 8'!F72,INDEX($AQ$2:$AV$2,,MATCH($AX71,AQ71:AV71,0)))</f>
        <v>3</v>
      </c>
      <c r="G71" s="55">
        <f>VLOOKUP($C71,'ISL Total'!$D$5:$AH$15,25,0)</f>
        <v>1.4571180555555554</v>
      </c>
      <c r="H71" s="55">
        <f>VLOOKUP($C71,'ISL Total'!$D$5:$AH$15,28,0)</f>
        <v>1.7565140845070424</v>
      </c>
      <c r="I71" s="55">
        <f>VLOOKUP($E71,'ISL Total'!$D$5:$AH$15,26,0)</f>
        <v>2.2018340394671556</v>
      </c>
      <c r="J71" s="55">
        <f>VLOOKUP(E71,'ISL Total'!$D$5:$AH$15,29,0)</f>
        <v>1.4450563501928062</v>
      </c>
      <c r="K71" s="55">
        <f t="shared" si="26"/>
        <v>3.0148425478810621</v>
      </c>
      <c r="L71" s="55">
        <f t="shared" si="27"/>
        <v>5.1809020144503544</v>
      </c>
      <c r="M71" s="55">
        <f t="shared" ca="1" si="50"/>
        <v>3.3112213343895163</v>
      </c>
      <c r="N71" s="55">
        <v>3.2421373254164916</v>
      </c>
      <c r="O71" s="55">
        <v>2.9500396744362738</v>
      </c>
      <c r="P71" s="55">
        <v>3.4697049601406018</v>
      </c>
      <c r="Q71" s="55">
        <v>3.4094953592897275</v>
      </c>
      <c r="R71" s="55">
        <v>2.8978558120807638</v>
      </c>
      <c r="S71" s="55">
        <v>2.8189435401556739</v>
      </c>
      <c r="T71" s="55">
        <v>2.4933761131112808</v>
      </c>
      <c r="U71" s="55">
        <v>2.4227179224933759</v>
      </c>
      <c r="V71" s="55">
        <v>3.5547235931893786</v>
      </c>
      <c r="W71" s="55">
        <v>3.1473493380992403</v>
      </c>
      <c r="X71" s="55">
        <f t="shared" ca="1" si="28"/>
        <v>3.0652331793456664</v>
      </c>
      <c r="Y71" s="55">
        <f t="shared" ca="1" si="51"/>
        <v>5.0146128737549915</v>
      </c>
      <c r="Z71" s="55">
        <v>5.2370573331281802</v>
      </c>
      <c r="AA71" s="55">
        <v>5.0188703810960673</v>
      </c>
      <c r="AB71" s="55">
        <v>5.0224579736446975</v>
      </c>
      <c r="AC71" s="55">
        <v>5.226866758044201</v>
      </c>
      <c r="AD71" s="55">
        <v>5.2955080255969174</v>
      </c>
      <c r="AE71" s="55">
        <v>5.7393931006127108</v>
      </c>
      <c r="AF71" s="55">
        <v>5.726117855695315</v>
      </c>
      <c r="AG71" s="55">
        <v>4.9813283881187562</v>
      </c>
      <c r="AH71" s="55">
        <v>5.2777192167880456</v>
      </c>
      <c r="AI71" s="55">
        <v>5.044029541863754</v>
      </c>
      <c r="AJ71" s="55">
        <f t="shared" ca="1" si="29"/>
        <v>5.2349055862130571</v>
      </c>
      <c r="AK71" s="55">
        <f t="shared" ca="1" si="41"/>
        <v>4.664296442039978E-2</v>
      </c>
      <c r="AL71" s="55">
        <f t="shared" ca="1" si="42"/>
        <v>0.14297156212444881</v>
      </c>
      <c r="AM71" s="55">
        <f t="shared" ca="1" si="42"/>
        <v>0.21912058796337042</v>
      </c>
      <c r="AN71" s="55">
        <f t="shared" ca="1" si="42"/>
        <v>0.22388523216768449</v>
      </c>
      <c r="AO71" s="55">
        <f t="shared" ca="1" si="42"/>
        <v>0.17156511050147358</v>
      </c>
      <c r="AP71" s="55">
        <f t="shared" ca="1" si="42"/>
        <v>0.10517741382544446</v>
      </c>
      <c r="AQ71" s="55">
        <f t="shared" ca="1" si="52"/>
        <v>0.17453093349590587</v>
      </c>
      <c r="AR71" s="55">
        <f t="shared" ca="1" si="52"/>
        <v>0.16669921799120926</v>
      </c>
      <c r="AS71" s="55">
        <f t="shared" ca="1" si="52"/>
        <v>0.12737514764754324</v>
      </c>
      <c r="AT71" s="55">
        <f t="shared" ca="1" si="52"/>
        <v>7.2995670437498786E-2</v>
      </c>
      <c r="AU71" s="55">
        <f t="shared" ca="1" si="52"/>
        <v>2.7888056139825819E-2</v>
      </c>
      <c r="AV71" s="55">
        <f t="shared" ca="1" si="52"/>
        <v>5.3273274332345903E-3</v>
      </c>
      <c r="AW71" s="55">
        <f t="shared" ca="1" si="31"/>
        <v>0.22388523216768449</v>
      </c>
      <c r="AX71" s="55">
        <f t="shared" ca="1" si="32"/>
        <v>0.17453093349590587</v>
      </c>
      <c r="AY71" s="54">
        <f t="shared" ca="1" si="43"/>
        <v>3</v>
      </c>
      <c r="AZ71" s="54">
        <f t="shared" ca="1" si="44"/>
        <v>5</v>
      </c>
      <c r="BA71" s="54" t="str">
        <f t="shared" si="45"/>
        <v>OdishaHyderabad</v>
      </c>
      <c r="BB71" s="54">
        <f t="shared" si="53"/>
        <v>0</v>
      </c>
      <c r="BC71" s="54">
        <f t="shared" si="54"/>
        <v>3</v>
      </c>
      <c r="BD71" s="54">
        <f t="shared" si="55"/>
        <v>1</v>
      </c>
      <c r="BE71" s="54" t="str">
        <f t="shared" si="46"/>
        <v>HL</v>
      </c>
      <c r="BF71" s="55" t="str">
        <f t="shared" si="47"/>
        <v>AW</v>
      </c>
      <c r="BG71" s="86">
        <f t="shared" ca="1" si="48"/>
        <v>0.11399514491880357</v>
      </c>
      <c r="BH71" s="86">
        <f t="shared" ca="1" si="49"/>
        <v>9.5704431996168918E-2</v>
      </c>
      <c r="BI71" s="87">
        <f t="shared" ca="1" si="56"/>
        <v>0.79030042308502746</v>
      </c>
    </row>
    <row r="72" spans="1:61" x14ac:dyDescent="0.2">
      <c r="A72" s="52">
        <f>'ISL 8'!B73</f>
        <v>44586</v>
      </c>
      <c r="B72" s="54">
        <f>'ISL 8'!C73</f>
        <v>70</v>
      </c>
      <c r="C72" s="54" t="str">
        <f>'ISL 8'!D73</f>
        <v>Jamshedpur</v>
      </c>
      <c r="D72" s="54">
        <f>IF('ISL 8'!E73&lt;&gt;"",'ISL 8'!E73,INDEX($AK$2:$AP$2,,MATCH($AW72,AK72:AP72,0)))</f>
        <v>1</v>
      </c>
      <c r="E72" s="54" t="str">
        <f>'ISL 8'!G73</f>
        <v>Goa</v>
      </c>
      <c r="F72" s="54">
        <f>IF('ISL 8'!F73&lt;&gt;"",'ISL 8'!F73,INDEX($AQ$2:$AV$2,,MATCH($AX72,AQ72:AV72,0)))</f>
        <v>0</v>
      </c>
      <c r="G72" s="55">
        <f>VLOOKUP($C72,'ISL Total'!$D$5:$AH$15,25,0)</f>
        <v>1.6665097487371039</v>
      </c>
      <c r="H72" s="55">
        <f>VLOOKUP($C72,'ISL Total'!$D$5:$AH$15,28,0)</f>
        <v>1.5979083171113402</v>
      </c>
      <c r="I72" s="55">
        <f>VLOOKUP($E72,'ISL Total'!$D$5:$AH$15,26,0)</f>
        <v>2.0171275621206917</v>
      </c>
      <c r="J72" s="55">
        <f>VLOOKUP(E72,'ISL Total'!$D$5:$AH$15,29,0)</f>
        <v>2.2576929605011884</v>
      </c>
      <c r="K72" s="55">
        <f t="shared" si="26"/>
        <v>5.3871348967962076</v>
      </c>
      <c r="L72" s="55">
        <f t="shared" si="27"/>
        <v>4.3177190677645649</v>
      </c>
      <c r="M72" s="55">
        <f t="shared" ca="1" si="50"/>
        <v>5.3416894094490175</v>
      </c>
      <c r="N72" s="55">
        <v>5.7265975102481725</v>
      </c>
      <c r="O72" s="55">
        <v>6.0018781982985949</v>
      </c>
      <c r="P72" s="55">
        <v>5.6125172415028999</v>
      </c>
      <c r="Q72" s="55">
        <v>5.0427363799343867</v>
      </c>
      <c r="R72" s="55">
        <v>5.9652052059942493</v>
      </c>
      <c r="S72" s="55">
        <v>5.4910829978122964</v>
      </c>
      <c r="T72" s="55">
        <v>5.2696904809816774</v>
      </c>
      <c r="U72" s="55">
        <v>5.5027143799877773</v>
      </c>
      <c r="V72" s="55">
        <v>5.1411285418730017</v>
      </c>
      <c r="W72" s="55">
        <v>5.5245021941854118</v>
      </c>
      <c r="X72" s="55">
        <f t="shared" ca="1" si="28"/>
        <v>5.5108856854788622</v>
      </c>
      <c r="Y72" s="55">
        <f t="shared" ca="1" si="51"/>
        <v>4.3668955584424083</v>
      </c>
      <c r="Z72" s="55">
        <v>3.9205078235318731</v>
      </c>
      <c r="AA72" s="55">
        <v>4.4396309865833077</v>
      </c>
      <c r="AB72" s="55">
        <v>4.6138439667243203</v>
      </c>
      <c r="AC72" s="55">
        <v>3.8982208653851513</v>
      </c>
      <c r="AD72" s="55">
        <v>4.4636681202204755</v>
      </c>
      <c r="AE72" s="55">
        <v>4.2720965620388665</v>
      </c>
      <c r="AF72" s="55">
        <v>4.2496813367686643</v>
      </c>
      <c r="AG72" s="55">
        <v>4.0975294990891618</v>
      </c>
      <c r="AH72" s="55">
        <v>4.3164874111049958</v>
      </c>
      <c r="AI72" s="55">
        <v>4.3244341679227745</v>
      </c>
      <c r="AJ72" s="55">
        <f t="shared" ca="1" si="29"/>
        <v>4.2693632998010917</v>
      </c>
      <c r="AK72" s="55">
        <f t="shared" ca="1" si="41"/>
        <v>4.0425253911602925E-3</v>
      </c>
      <c r="AL72" s="55">
        <f t="shared" ca="1" si="42"/>
        <v>2.2277895311330096E-2</v>
      </c>
      <c r="AM72" s="55">
        <f t="shared" ca="1" si="42"/>
        <v>6.1385467186902846E-2</v>
      </c>
      <c r="AN72" s="55">
        <f t="shared" ca="1" si="42"/>
        <v>0.11276276413891174</v>
      </c>
      <c r="AO72" s="55">
        <f t="shared" ca="1" si="42"/>
        <v>0.15535567568703951</v>
      </c>
      <c r="AP72" s="55">
        <f t="shared" ca="1" si="42"/>
        <v>0.1712294738603205</v>
      </c>
      <c r="AQ72" s="55">
        <f t="shared" ca="1" si="52"/>
        <v>0.16537634681820262</v>
      </c>
      <c r="AR72" s="55">
        <f t="shared" ca="1" si="52"/>
        <v>0.19367799740292363</v>
      </c>
      <c r="AS72" s="55">
        <f t="shared" ca="1" si="52"/>
        <v>0.18145843658884409</v>
      </c>
      <c r="AT72" s="55">
        <f t="shared" ca="1" si="52"/>
        <v>0.1275073755826529</v>
      </c>
      <c r="AU72" s="55">
        <f t="shared" ca="1" si="52"/>
        <v>5.9731330706193797E-2</v>
      </c>
      <c r="AV72" s="55">
        <f t="shared" ca="1" si="52"/>
        <v>1.3990688192072259E-2</v>
      </c>
      <c r="AW72" s="55">
        <f t="shared" ca="1" si="31"/>
        <v>0.1712294738603205</v>
      </c>
      <c r="AX72" s="55">
        <f t="shared" ca="1" si="32"/>
        <v>0.19367799740292363</v>
      </c>
      <c r="AY72" s="54">
        <f t="shared" ca="1" si="43"/>
        <v>5</v>
      </c>
      <c r="AZ72" s="54">
        <f t="shared" ca="1" si="44"/>
        <v>4</v>
      </c>
      <c r="BA72" s="54" t="str">
        <f t="shared" si="45"/>
        <v>JamshedpurGoa</v>
      </c>
      <c r="BB72" s="54">
        <f t="shared" si="53"/>
        <v>3</v>
      </c>
      <c r="BC72" s="54">
        <f t="shared" si="54"/>
        <v>0</v>
      </c>
      <c r="BD72" s="54">
        <f t="shared" si="55"/>
        <v>1</v>
      </c>
      <c r="BE72" s="54" t="str">
        <f t="shared" si="46"/>
        <v>HW</v>
      </c>
      <c r="BF72" s="55" t="str">
        <f t="shared" si="47"/>
        <v>AL</v>
      </c>
      <c r="BG72" s="86">
        <f t="shared" ca="1" si="48"/>
        <v>0.18567187054007264</v>
      </c>
      <c r="BH72" s="86">
        <f t="shared" ca="1" si="49"/>
        <v>8.808238175740242E-2</v>
      </c>
      <c r="BI72" s="87">
        <f t="shared" ca="1" si="56"/>
        <v>0.72624574770252492</v>
      </c>
    </row>
    <row r="73" spans="1:61" x14ac:dyDescent="0.2">
      <c r="A73" s="52">
        <f>'ISL 8'!B74</f>
        <v>44587</v>
      </c>
      <c r="B73" s="54">
        <f>'ISL 8'!C74</f>
        <v>71</v>
      </c>
      <c r="C73" s="54" t="str">
        <f>'ISL 8'!D74</f>
        <v>ATK-MB</v>
      </c>
      <c r="D73" s="54">
        <f>IF('ISL 8'!E74&lt;&gt;"",'ISL 8'!E74,INDEX($AK$2:$AP$2,,MATCH($AW73,AK73:AP73,0)))</f>
        <v>3</v>
      </c>
      <c r="E73" s="54" t="str">
        <f>'ISL 8'!G74</f>
        <v>East Bengal</v>
      </c>
      <c r="F73" s="54">
        <f>IF('ISL 8'!F74&lt;&gt;"",'ISL 8'!F74,INDEX($AQ$2:$AV$2,,MATCH($AX73,AQ73:AV73,0)))</f>
        <v>1</v>
      </c>
      <c r="G73" s="55">
        <f>VLOOKUP($C73,'ISL Total'!$D$5:$AH$15,25,0)</f>
        <v>2.0695986245708529</v>
      </c>
      <c r="H73" s="55">
        <f>VLOOKUP($C73,'ISL Total'!$D$5:$AH$15,28,0)</f>
        <v>1.8323600137409826</v>
      </c>
      <c r="I73" s="55">
        <f>VLOOKUP($E73,'ISL Total'!$D$5:$AH$15,26,0)</f>
        <v>2.2664839306843771</v>
      </c>
      <c r="J73" s="55">
        <f>VLOOKUP(E73,'ISL Total'!$D$5:$AH$15,29,0)</f>
        <v>2.3205343227457229</v>
      </c>
      <c r="K73" s="55">
        <f t="shared" si="26"/>
        <v>6.8763699971394514</v>
      </c>
      <c r="L73" s="55">
        <f t="shared" si="27"/>
        <v>5.56330167831024</v>
      </c>
      <c r="M73" s="55">
        <f t="shared" ca="1" si="50"/>
        <v>7.1688513544578631</v>
      </c>
      <c r="N73" s="55">
        <v>6.6124853937968133</v>
      </c>
      <c r="O73" s="55">
        <v>6.7161891493260786</v>
      </c>
      <c r="P73" s="55">
        <v>7.0555722799555438</v>
      </c>
      <c r="Q73" s="55">
        <v>6.5754538586487605</v>
      </c>
      <c r="R73" s="55">
        <v>6.7586170259147647</v>
      </c>
      <c r="S73" s="55">
        <v>7.1807410778062772</v>
      </c>
      <c r="T73" s="55">
        <v>7.1437003362126639</v>
      </c>
      <c r="U73" s="55">
        <v>7.209715051444487</v>
      </c>
      <c r="V73" s="55">
        <v>7.1576951050576323</v>
      </c>
      <c r="W73" s="55">
        <v>6.7380798284322241</v>
      </c>
      <c r="X73" s="55">
        <f t="shared" ca="1" si="28"/>
        <v>6.9379182237321002</v>
      </c>
      <c r="Y73" s="55">
        <f t="shared" ca="1" si="51"/>
        <v>5.4943325462786214</v>
      </c>
      <c r="Z73" s="55">
        <v>5.5677490731700985</v>
      </c>
      <c r="AA73" s="55">
        <v>5.3942170947672734</v>
      </c>
      <c r="AB73" s="55">
        <v>5.3983532155161171</v>
      </c>
      <c r="AC73" s="55">
        <v>5.8660535397202924</v>
      </c>
      <c r="AD73" s="55">
        <v>5.0728962153261019</v>
      </c>
      <c r="AE73" s="55">
        <v>5.5910698798851026</v>
      </c>
      <c r="AF73" s="55">
        <v>5.7688212079557895</v>
      </c>
      <c r="AG73" s="55">
        <v>5.8054558925059654</v>
      </c>
      <c r="AH73" s="55">
        <v>5.3595710853857472</v>
      </c>
      <c r="AI73" s="55">
        <v>5.9341604788222924</v>
      </c>
      <c r="AJ73" s="55">
        <f t="shared" ca="1" si="29"/>
        <v>5.5684254753939459</v>
      </c>
      <c r="AK73" s="55">
        <f t="shared" ca="1" si="41"/>
        <v>9.7028741742613707E-4</v>
      </c>
      <c r="AL73" s="55">
        <f t="shared" ca="1" si="42"/>
        <v>6.7317747556187527E-3</v>
      </c>
      <c r="AM73" s="55">
        <f t="shared" ca="1" si="42"/>
        <v>2.3352251377533523E-2</v>
      </c>
      <c r="AN73" s="55">
        <f t="shared" ca="1" si="42"/>
        <v>5.4005336799120965E-2</v>
      </c>
      <c r="AO73" s="55">
        <f t="shared" ca="1" si="42"/>
        <v>9.3671152589352796E-2</v>
      </c>
      <c r="AP73" s="55">
        <f t="shared" ca="1" si="42"/>
        <v>0.12997655931753219</v>
      </c>
      <c r="AQ73" s="55">
        <f t="shared" ca="1" si="52"/>
        <v>0.17027243844566256</v>
      </c>
      <c r="AR73" s="55">
        <f t="shared" ca="1" si="52"/>
        <v>0.15289100949457929</v>
      </c>
      <c r="AS73" s="55">
        <f t="shared" ca="1" si="52"/>
        <v>0.10982710295409873</v>
      </c>
      <c r="AT73" s="55">
        <f t="shared" ca="1" si="52"/>
        <v>5.9169564236466063E-2</v>
      </c>
      <c r="AU73" s="55">
        <f t="shared" ca="1" si="52"/>
        <v>2.1251811485285266E-2</v>
      </c>
      <c r="AV73" s="55">
        <f t="shared" ca="1" si="52"/>
        <v>3.8164848536078821E-3</v>
      </c>
      <c r="AW73" s="55">
        <f t="shared" ca="1" si="31"/>
        <v>0.12997655931753219</v>
      </c>
      <c r="AX73" s="55">
        <f t="shared" ca="1" si="32"/>
        <v>0.17027243844566256</v>
      </c>
      <c r="AY73" s="54">
        <f t="shared" ca="1" si="43"/>
        <v>5</v>
      </c>
      <c r="AZ73" s="54">
        <f t="shared" ca="1" si="44"/>
        <v>5</v>
      </c>
      <c r="BA73" s="54" t="str">
        <f t="shared" si="45"/>
        <v>ATK-MBEast Bengal</v>
      </c>
      <c r="BB73" s="54">
        <f t="shared" si="53"/>
        <v>3</v>
      </c>
      <c r="BC73" s="54">
        <f t="shared" si="54"/>
        <v>0</v>
      </c>
      <c r="BD73" s="54">
        <f t="shared" si="55"/>
        <v>2</v>
      </c>
      <c r="BE73" s="54" t="str">
        <f t="shared" si="46"/>
        <v>HW</v>
      </c>
      <c r="BF73" s="55" t="str">
        <f t="shared" si="47"/>
        <v>AL</v>
      </c>
      <c r="BG73" s="86">
        <f t="shared" ca="1" si="48"/>
        <v>6.8434819325060639E-2</v>
      </c>
      <c r="BH73" s="86">
        <f t="shared" ca="1" si="49"/>
        <v>4.3912660493637401E-2</v>
      </c>
      <c r="BI73" s="87">
        <f t="shared" ca="1" si="56"/>
        <v>0.88765252018130192</v>
      </c>
    </row>
    <row r="74" spans="1:61" x14ac:dyDescent="0.2">
      <c r="A74" s="52">
        <f>'ISL 8'!B75</f>
        <v>44588</v>
      </c>
      <c r="B74" s="54">
        <f>'ISL 8'!C75</f>
        <v>72</v>
      </c>
      <c r="C74" s="54" t="str">
        <f>'ISL 8'!D75</f>
        <v>Kerala Blasters</v>
      </c>
      <c r="D74" s="54">
        <f>IF('ISL 8'!E75&lt;&gt;"",'ISL 8'!E75,INDEX($AK$2:$AP$2,,MATCH($AW74,AK74:AP74,0)))</f>
        <v>0</v>
      </c>
      <c r="E74" s="54" t="str">
        <f>'ISL 8'!G75</f>
        <v>Bengaluru</v>
      </c>
      <c r="F74" s="54">
        <f>IF('ISL 8'!F75&lt;&gt;"",'ISL 8'!F75,INDEX($AQ$2:$AV$2,,MATCH($AX74,AQ74:AV74,0)))</f>
        <v>1</v>
      </c>
      <c r="G74" s="55">
        <f>VLOOKUP($C74,'ISL Total'!$D$5:$AH$15,25,0)</f>
        <v>1.7408543887928634</v>
      </c>
      <c r="H74" s="55">
        <f>VLOOKUP($C74,'ISL Total'!$D$5:$AH$15,28,0)</f>
        <v>1.6729569830909576</v>
      </c>
      <c r="I74" s="55">
        <f>VLOOKUP($E74,'ISL Total'!$D$5:$AH$15,26,0)</f>
        <v>2.137197984655903</v>
      </c>
      <c r="J74" s="55">
        <f>VLOOKUP(E74,'ISL Total'!$D$5:$AH$15,29,0)</f>
        <v>1.6538618669066225</v>
      </c>
      <c r="K74" s="55">
        <f t="shared" si="26"/>
        <v>4.1223683371591964</v>
      </c>
      <c r="L74" s="55">
        <f t="shared" si="27"/>
        <v>4.7895938852705395</v>
      </c>
      <c r="M74" s="55">
        <f t="shared" ca="1" si="50"/>
        <v>4.0125932798213979</v>
      </c>
      <c r="N74" s="55">
        <v>4.5739072097418623</v>
      </c>
      <c r="O74" s="55">
        <v>4.6748053962305116</v>
      </c>
      <c r="P74" s="55">
        <v>3.907876577776265</v>
      </c>
      <c r="Q74" s="55">
        <v>4.0449568669429814</v>
      </c>
      <c r="R74" s="55">
        <v>4.494011262841922</v>
      </c>
      <c r="S74" s="55">
        <v>4.5711922692243716</v>
      </c>
      <c r="T74" s="55">
        <v>4.0148684741778577</v>
      </c>
      <c r="U74" s="55">
        <v>4.0912873733871029</v>
      </c>
      <c r="V74" s="55">
        <v>3.9203049438612987</v>
      </c>
      <c r="W74" s="55">
        <v>3.8717950578599103</v>
      </c>
      <c r="X74" s="55">
        <f t="shared" ca="1" si="28"/>
        <v>4.1979635192604983</v>
      </c>
      <c r="Y74" s="55">
        <f t="shared" ca="1" si="51"/>
        <v>5.1022835661676229</v>
      </c>
      <c r="Z74" s="55">
        <v>4.6835936629082378</v>
      </c>
      <c r="AA74" s="55">
        <v>4.6190539322091606</v>
      </c>
      <c r="AB74" s="55">
        <v>5.236784730533782</v>
      </c>
      <c r="AC74" s="55">
        <v>4.7787119984016853</v>
      </c>
      <c r="AD74" s="55">
        <v>5.1186929289818464</v>
      </c>
      <c r="AE74" s="55">
        <v>5.0407473692907292</v>
      </c>
      <c r="AF74" s="55">
        <v>4.9568749839445871</v>
      </c>
      <c r="AG74" s="55">
        <v>5.1438658544676379</v>
      </c>
      <c r="AH74" s="55">
        <v>4.5268501312086844</v>
      </c>
      <c r="AI74" s="55">
        <v>4.5144652442543043</v>
      </c>
      <c r="AJ74" s="55">
        <f t="shared" ca="1" si="29"/>
        <v>4.883811309306207</v>
      </c>
      <c r="AK74" s="55">
        <f t="shared" ca="1" si="41"/>
        <v>1.5026146140200852E-2</v>
      </c>
      <c r="AL74" s="55">
        <f t="shared" ca="1" si="42"/>
        <v>6.3079213331640127E-2</v>
      </c>
      <c r="AM74" s="55">
        <f t="shared" ca="1" si="42"/>
        <v>0.13240211819493786</v>
      </c>
      <c r="AN74" s="55">
        <f t="shared" ca="1" si="42"/>
        <v>0.18527308735172196</v>
      </c>
      <c r="AO74" s="55">
        <f t="shared" ca="1" si="42"/>
        <v>0.19444241545082311</v>
      </c>
      <c r="AP74" s="55">
        <f t="shared" ca="1" si="42"/>
        <v>0.16325243333188982</v>
      </c>
      <c r="AQ74" s="55">
        <f t="shared" ca="1" si="52"/>
        <v>0.17522692218099054</v>
      </c>
      <c r="AR74" s="55">
        <f t="shared" ca="1" si="52"/>
        <v>0.17939567182611246</v>
      </c>
      <c r="AS74" s="55">
        <f t="shared" ca="1" si="52"/>
        <v>0.14693087874567975</v>
      </c>
      <c r="AT74" s="55">
        <f t="shared" ca="1" si="52"/>
        <v>9.0255869508533093E-2</v>
      </c>
      <c r="AU74" s="55">
        <f t="shared" ca="1" si="52"/>
        <v>3.6961243501176473E-2</v>
      </c>
      <c r="AV74" s="55">
        <f t="shared" ca="1" si="52"/>
        <v>7.5681145646937726E-3</v>
      </c>
      <c r="AW74" s="55">
        <f t="shared" ca="1" si="31"/>
        <v>0.19444241545082311</v>
      </c>
      <c r="AX74" s="55">
        <f t="shared" ca="1" si="32"/>
        <v>0.17939567182611246</v>
      </c>
      <c r="AY74" s="54">
        <f t="shared" ca="1" si="43"/>
        <v>4</v>
      </c>
      <c r="AZ74" s="54">
        <f t="shared" ca="1" si="44"/>
        <v>4</v>
      </c>
      <c r="BA74" s="54" t="str">
        <f t="shared" si="45"/>
        <v>Kerala BlastersBengaluru</v>
      </c>
      <c r="BB74" s="54">
        <f t="shared" si="53"/>
        <v>0</v>
      </c>
      <c r="BC74" s="54">
        <f t="shared" si="54"/>
        <v>3</v>
      </c>
      <c r="BD74" s="54">
        <f t="shared" si="55"/>
        <v>1</v>
      </c>
      <c r="BE74" s="54" t="str">
        <f t="shared" si="46"/>
        <v>HL</v>
      </c>
      <c r="BF74" s="55" t="str">
        <f t="shared" si="47"/>
        <v>AW</v>
      </c>
      <c r="BG74" s="86">
        <f t="shared" ca="1" si="48"/>
        <v>0.16140042728967965</v>
      </c>
      <c r="BH74" s="86">
        <f t="shared" ca="1" si="49"/>
        <v>0.10510596077683443</v>
      </c>
      <c r="BI74" s="87">
        <f t="shared" ca="1" si="56"/>
        <v>0.73349361193348595</v>
      </c>
    </row>
    <row r="75" spans="1:61" x14ac:dyDescent="0.2">
      <c r="A75" s="52">
        <f>'ISL 8'!B76</f>
        <v>44589</v>
      </c>
      <c r="B75" s="54">
        <f>'ISL 8'!C76</f>
        <v>73</v>
      </c>
      <c r="C75" s="54" t="str">
        <f>'ISL 8'!D76</f>
        <v>NorthEast United</v>
      </c>
      <c r="D75" s="54">
        <f>IF('ISL 8'!E76&lt;&gt;"",'ISL 8'!E76,INDEX($AK$2:$AP$2,,MATCH($AW75,AK75:AP75,0)))</f>
        <v>0</v>
      </c>
      <c r="E75" s="54" t="str">
        <f>'ISL 8'!G76</f>
        <v>Hyderabad</v>
      </c>
      <c r="F75" s="54">
        <f>IF('ISL 8'!F76&lt;&gt;"",'ISL 8'!F76,INDEX($AQ$2:$AV$2,,MATCH($AX75,AQ75:AV75,0)))</f>
        <v>5</v>
      </c>
      <c r="G75" s="55">
        <f>VLOOKUP($C75,'ISL Total'!$D$5:$AH$15,25,0)</f>
        <v>1.9869978963421873</v>
      </c>
      <c r="H75" s="55">
        <f>VLOOKUP($C75,'ISL Total'!$D$5:$AH$15,28,0)</f>
        <v>2.4341100805374252</v>
      </c>
      <c r="I75" s="55">
        <f>VLOOKUP($E75,'ISL Total'!$D$5:$AH$15,26,0)</f>
        <v>2.2018340394671556</v>
      </c>
      <c r="J75" s="55">
        <f>VLOOKUP(E75,'ISL Total'!$D$5:$AH$15,29,0)</f>
        <v>1.4450563501928062</v>
      </c>
      <c r="K75" s="55">
        <f t="shared" si="26"/>
        <v>4.1111876814666175</v>
      </c>
      <c r="L75" s="55">
        <f t="shared" si="27"/>
        <v>7.179495986329905</v>
      </c>
      <c r="M75" s="55">
        <f t="shared" ca="1" si="50"/>
        <v>4.7813408477750778</v>
      </c>
      <c r="N75" s="55">
        <v>4.2662857878630431</v>
      </c>
      <c r="O75" s="55">
        <v>4.1654760748557775</v>
      </c>
      <c r="P75" s="55">
        <v>4.3888474484180433</v>
      </c>
      <c r="Q75" s="55">
        <v>3.857249394587646</v>
      </c>
      <c r="R75" s="55">
        <v>4.2295626114958305</v>
      </c>
      <c r="S75" s="55">
        <v>4.3166444010730105</v>
      </c>
      <c r="T75" s="55">
        <v>4.4428999501849358</v>
      </c>
      <c r="U75" s="55">
        <v>4.2616143553401917</v>
      </c>
      <c r="V75" s="55">
        <v>4.0749869288917528</v>
      </c>
      <c r="W75" s="55">
        <v>4.3766634603619403</v>
      </c>
      <c r="X75" s="55">
        <f t="shared" ca="1" si="28"/>
        <v>4.2874155691679325</v>
      </c>
      <c r="Y75" s="55">
        <f t="shared" ca="1" si="51"/>
        <v>7.4248612584715215</v>
      </c>
      <c r="Z75" s="55">
        <v>6.9678315312623242</v>
      </c>
      <c r="AA75" s="55">
        <v>7.245594651848382</v>
      </c>
      <c r="AB75" s="55">
        <v>6.9607265906952325</v>
      </c>
      <c r="AC75" s="55">
        <v>7.0773332976949144</v>
      </c>
      <c r="AD75" s="55">
        <v>7.3711091916407723</v>
      </c>
      <c r="AE75" s="55">
        <v>7.0813162411483201</v>
      </c>
      <c r="AF75" s="55">
        <v>7.4814481159385879</v>
      </c>
      <c r="AG75" s="55">
        <v>7.3290789492199977</v>
      </c>
      <c r="AH75" s="55">
        <v>7.4074873652353297</v>
      </c>
      <c r="AI75" s="55">
        <v>7.2060370219878909</v>
      </c>
      <c r="AJ75" s="55">
        <f t="shared" ca="1" si="29"/>
        <v>7.2320749286493884</v>
      </c>
      <c r="AK75" s="55">
        <f t="shared" ca="1" si="41"/>
        <v>1.3740390537844923E-2</v>
      </c>
      <c r="AL75" s="55">
        <f t="shared" ca="1" si="42"/>
        <v>5.8910764318404071E-2</v>
      </c>
      <c r="AM75" s="55">
        <f t="shared" ca="1" si="42"/>
        <v>0.12628746406515415</v>
      </c>
      <c r="AN75" s="55">
        <f t="shared" ca="1" si="42"/>
        <v>0.18048227987455925</v>
      </c>
      <c r="AO75" s="55">
        <f t="shared" ca="1" si="42"/>
        <v>0.1934506341732774</v>
      </c>
      <c r="AP75" s="55">
        <f t="shared" ca="1" si="42"/>
        <v>0.16588065216398393</v>
      </c>
      <c r="AQ75" s="55">
        <f t="shared" ca="1" si="52"/>
        <v>0.11920187999512206</v>
      </c>
      <c r="AR75" s="55">
        <f t="shared" ca="1" si="52"/>
        <v>8.2411950353909996E-2</v>
      </c>
      <c r="AS75" s="55">
        <f t="shared" ca="1" si="52"/>
        <v>4.5581358692753822E-2</v>
      </c>
      <c r="AT75" s="55">
        <f t="shared" ca="1" si="52"/>
        <v>1.8908000460083573E-2</v>
      </c>
      <c r="AU75" s="55">
        <f t="shared" ca="1" si="52"/>
        <v>5.2289282527150736E-3</v>
      </c>
      <c r="AV75" s="55">
        <f t="shared" ca="1" si="52"/>
        <v>7.2301909262596537E-4</v>
      </c>
      <c r="AW75" s="55">
        <f t="shared" ca="1" si="31"/>
        <v>0.1934506341732774</v>
      </c>
      <c r="AX75" s="55">
        <f t="shared" ca="1" si="32"/>
        <v>0.11920187999512206</v>
      </c>
      <c r="AY75" s="54">
        <f t="shared" ca="1" si="43"/>
        <v>4</v>
      </c>
      <c r="AZ75" s="54">
        <f t="shared" ca="1" si="44"/>
        <v>5</v>
      </c>
      <c r="BA75" s="54" t="str">
        <f t="shared" si="45"/>
        <v>NorthEast UnitedHyderabad</v>
      </c>
      <c r="BB75" s="54">
        <f t="shared" si="53"/>
        <v>0</v>
      </c>
      <c r="BC75" s="54">
        <f t="shared" si="54"/>
        <v>3</v>
      </c>
      <c r="BD75" s="54">
        <f t="shared" si="55"/>
        <v>5</v>
      </c>
      <c r="BE75" s="54" t="str">
        <f t="shared" si="46"/>
        <v>HL</v>
      </c>
      <c r="BF75" s="55" t="str">
        <f t="shared" si="47"/>
        <v>AW</v>
      </c>
      <c r="BG75" s="86">
        <f t="shared" ca="1" si="48"/>
        <v>4.4263343347421616E-2</v>
      </c>
      <c r="BH75" s="86">
        <f t="shared" ca="1" si="49"/>
        <v>4.6648375342111872E-2</v>
      </c>
      <c r="BI75" s="87">
        <f t="shared" ca="1" si="56"/>
        <v>0.90908828131046648</v>
      </c>
    </row>
    <row r="76" spans="1:61" x14ac:dyDescent="0.2">
      <c r="A76" s="52">
        <f>'ISL 8'!B77</f>
        <v>44590</v>
      </c>
      <c r="B76" s="54">
        <f>'ISL 8'!C77</f>
        <v>74</v>
      </c>
      <c r="C76" s="54" t="str">
        <f>'ISL 8'!D77</f>
        <v>Goa</v>
      </c>
      <c r="D76" s="54">
        <f>IF('ISL 8'!E77&lt;&gt;"",'ISL 8'!E77,INDEX($AK$2:$AP$2,,MATCH($AW76,AK76:AP76,0)))</f>
        <v>1</v>
      </c>
      <c r="E76" s="54" t="str">
        <f>'ISL 8'!G77</f>
        <v>Odisha</v>
      </c>
      <c r="F76" s="54">
        <f>IF('ISL 8'!F77&lt;&gt;"",'ISL 8'!F77,INDEX($AQ$2:$AV$2,,MATCH($AX76,AQ76:AV76,0)))</f>
        <v>1</v>
      </c>
      <c r="G76" s="55">
        <f>VLOOKUP($C76,'ISL Total'!$D$5:$AH$15,25,0)</f>
        <v>1.7934931050517995</v>
      </c>
      <c r="H76" s="55">
        <f>VLOOKUP($C76,'ISL Total'!$D$5:$AH$15,28,0)</f>
        <v>2.0847265162792477</v>
      </c>
      <c r="I76" s="55">
        <f>VLOOKUP($E76,'ISL Total'!$D$5:$AH$15,26,0)</f>
        <v>0.79788732394366213</v>
      </c>
      <c r="J76" s="55">
        <f>VLOOKUP(E76,'ISL Total'!$D$5:$AH$15,29,0)</f>
        <v>1.3928240740740743</v>
      </c>
      <c r="K76" s="55">
        <f t="shared" si="26"/>
        <v>3.5766882612196991</v>
      </c>
      <c r="L76" s="55">
        <f t="shared" si="27"/>
        <v>2.2282289707802732</v>
      </c>
      <c r="M76" s="55">
        <f t="shared" ca="1" si="50"/>
        <v>3.444683883974283</v>
      </c>
      <c r="N76" s="55">
        <v>3.2225695138461745</v>
      </c>
      <c r="O76" s="55">
        <v>3.4550112735935881</v>
      </c>
      <c r="P76" s="55">
        <v>3.5170701871061021</v>
      </c>
      <c r="Q76" s="55">
        <v>3.968459268241149</v>
      </c>
      <c r="R76" s="55">
        <v>3.2214565974403779</v>
      </c>
      <c r="S76" s="55">
        <v>3.5717709049923623</v>
      </c>
      <c r="T76" s="55">
        <v>3.8866583671603112</v>
      </c>
      <c r="U76" s="55">
        <v>3.5251816696675671</v>
      </c>
      <c r="V76" s="55">
        <v>3.4950851157254834</v>
      </c>
      <c r="W76" s="55">
        <v>3.1956057641029458</v>
      </c>
      <c r="X76" s="55">
        <f t="shared" ca="1" si="28"/>
        <v>3.5003229587136673</v>
      </c>
      <c r="Y76" s="55">
        <f t="shared" ca="1" si="51"/>
        <v>2.1912932105651799</v>
      </c>
      <c r="Z76" s="55">
        <v>2.6611316486733152</v>
      </c>
      <c r="AA76" s="55">
        <v>1.8498281649242649</v>
      </c>
      <c r="AB76" s="55">
        <v>2.4809443448510224</v>
      </c>
      <c r="AC76" s="55">
        <v>2.3150881747148073</v>
      </c>
      <c r="AD76" s="55">
        <v>2.4685440261862444</v>
      </c>
      <c r="AE76" s="55">
        <v>2.3936591948346004</v>
      </c>
      <c r="AF76" s="55">
        <v>2.3007244796397441</v>
      </c>
      <c r="AG76" s="55">
        <v>2.1584466344136888</v>
      </c>
      <c r="AH76" s="55">
        <v>1.9279337255809579</v>
      </c>
      <c r="AI76" s="55">
        <v>2.3557371673022991</v>
      </c>
      <c r="AJ76" s="55">
        <f t="shared" ca="1" si="29"/>
        <v>2.2821209792441928</v>
      </c>
      <c r="AK76" s="55">
        <f t="shared" ca="1" si="41"/>
        <v>3.0187632488871526E-2</v>
      </c>
      <c r="AL76" s="55">
        <f t="shared" ca="1" si="42"/>
        <v>0.1056664630700076</v>
      </c>
      <c r="AM76" s="55">
        <f t="shared" ca="1" si="42"/>
        <v>0.18493337332500878</v>
      </c>
      <c r="AN76" s="55">
        <f t="shared" ca="1" si="42"/>
        <v>0.21577551082729796</v>
      </c>
      <c r="AO76" s="55">
        <f t="shared" ca="1" si="42"/>
        <v>0.18882099361924012</v>
      </c>
      <c r="AP76" s="55">
        <f t="shared" ca="1" si="42"/>
        <v>0.13218689181051063</v>
      </c>
      <c r="AQ76" s="55">
        <f t="shared" ca="1" si="52"/>
        <v>5.2650139069328056E-2</v>
      </c>
      <c r="AR76" s="55">
        <f t="shared" ca="1" si="52"/>
        <v>0.11535352320972282</v>
      </c>
      <c r="AS76" s="55">
        <f t="shared" ca="1" si="52"/>
        <v>0.20218651729484793</v>
      </c>
      <c r="AT76" s="55">
        <f t="shared" ca="1" si="52"/>
        <v>0.26578764114662667</v>
      </c>
      <c r="AU76" s="55">
        <f t="shared" ca="1" si="52"/>
        <v>0.23293036921701835</v>
      </c>
      <c r="AV76" s="55">
        <f t="shared" ca="1" si="52"/>
        <v>0.10206749393897675</v>
      </c>
      <c r="AW76" s="55">
        <f t="shared" ca="1" si="31"/>
        <v>0.21577551082729796</v>
      </c>
      <c r="AX76" s="55">
        <f t="shared" ca="1" si="32"/>
        <v>0.26578764114662667</v>
      </c>
      <c r="AY76" s="54">
        <f t="shared" ca="1" si="43"/>
        <v>3</v>
      </c>
      <c r="AZ76" s="54">
        <f t="shared" ca="1" si="44"/>
        <v>2</v>
      </c>
      <c r="BA76" s="54" t="str">
        <f t="shared" si="45"/>
        <v>GoaOdisha</v>
      </c>
      <c r="BB76" s="54">
        <f t="shared" si="53"/>
        <v>1</v>
      </c>
      <c r="BC76" s="54">
        <f t="shared" si="54"/>
        <v>1</v>
      </c>
      <c r="BD76" s="54">
        <f t="shared" si="55"/>
        <v>0</v>
      </c>
      <c r="BE76" s="54" t="str">
        <f t="shared" si="46"/>
        <v>HD</v>
      </c>
      <c r="BF76" s="55" t="str">
        <f t="shared" si="47"/>
        <v>AD</v>
      </c>
      <c r="BG76" s="86">
        <f t="shared" ca="1" si="48"/>
        <v>0.47538076946233371</v>
      </c>
      <c r="BH76" s="86">
        <f t="shared" ca="1" si="49"/>
        <v>0.1492148334767795</v>
      </c>
      <c r="BI76" s="87">
        <f t="shared" ca="1" si="56"/>
        <v>0.3754043970608868</v>
      </c>
    </row>
    <row r="77" spans="1:61" x14ac:dyDescent="0.2">
      <c r="A77" s="52">
        <f>'ISL 8'!B78</f>
        <v>44591</v>
      </c>
      <c r="B77" s="54">
        <f>'ISL 8'!C78</f>
        <v>75</v>
      </c>
      <c r="C77" s="54" t="str">
        <f>'ISL 8'!D78</f>
        <v>East Bengal</v>
      </c>
      <c r="D77" s="54">
        <f>IF('ISL 8'!E78&lt;&gt;"",'ISL 8'!E78,INDEX($AK$2:$AP$2,,MATCH($AW77,AK77:AP77,0)))</f>
        <v>2</v>
      </c>
      <c r="E77" s="54" t="str">
        <f>'ISL 8'!G78</f>
        <v>Chennaiyin</v>
      </c>
      <c r="F77" s="54">
        <f>IF('ISL 8'!F78&lt;&gt;"",'ISL 8'!F78,INDEX($AQ$2:$AV$2,,MATCH($AX77,AQ77:AV77,0)))</f>
        <v>2</v>
      </c>
      <c r="G77" s="55">
        <f>VLOOKUP($C77,'ISL Total'!$D$5:$AH$15,25,0)</f>
        <v>2.2983657473042753</v>
      </c>
      <c r="H77" s="55">
        <f>VLOOKUP($C77,'ISL Total'!$D$5:$AH$15,28,0)</f>
        <v>2.2682850490476736</v>
      </c>
      <c r="I77" s="55">
        <f>VLOOKUP($E77,'ISL Total'!$D$5:$AH$15,26,0)</f>
        <v>1.4832889614107407</v>
      </c>
      <c r="J77" s="55">
        <f>VLOOKUP(E77,'ISL Total'!$D$5:$AH$15,29,0)</f>
        <v>1.6817905576540886</v>
      </c>
      <c r="K77" s="55">
        <f t="shared" si="26"/>
        <v>5.5344716074094356</v>
      </c>
      <c r="L77" s="55">
        <f t="shared" si="27"/>
        <v>4.5070518635850547</v>
      </c>
      <c r="M77" s="55">
        <f t="shared" ca="1" si="50"/>
        <v>5.5568089945833634</v>
      </c>
      <c r="N77" s="55">
        <v>6.2844081428981227</v>
      </c>
      <c r="O77" s="55">
        <v>5.6807291646753457</v>
      </c>
      <c r="P77" s="55">
        <v>5.5917320617167583</v>
      </c>
      <c r="Q77" s="55">
        <v>5.2961934761576739</v>
      </c>
      <c r="R77" s="55">
        <v>5.6111488828496174</v>
      </c>
      <c r="S77" s="55">
        <v>5.4182170613902096</v>
      </c>
      <c r="T77" s="55">
        <v>4.8935789231123605</v>
      </c>
      <c r="U77" s="55">
        <v>4.8370572603133901</v>
      </c>
      <c r="V77" s="55">
        <v>5.3375525965918929</v>
      </c>
      <c r="W77" s="55">
        <v>5.6323543890952577</v>
      </c>
      <c r="X77" s="55">
        <f t="shared" ca="1" si="28"/>
        <v>5.4672528139439995</v>
      </c>
      <c r="Y77" s="55">
        <f t="shared" ca="1" si="51"/>
        <v>4.4847060965899725</v>
      </c>
      <c r="Z77" s="55">
        <v>4.4642528285439251</v>
      </c>
      <c r="AA77" s="55">
        <v>4.30173615212603</v>
      </c>
      <c r="AB77" s="55">
        <v>4.7209850948688148</v>
      </c>
      <c r="AC77" s="55">
        <v>4.4659272432605555</v>
      </c>
      <c r="AD77" s="55">
        <v>4.5345799864342071</v>
      </c>
      <c r="AE77" s="55">
        <v>4.2585080264629092</v>
      </c>
      <c r="AF77" s="55">
        <v>4.5788707790262171</v>
      </c>
      <c r="AG77" s="55">
        <v>4.3181216085851561</v>
      </c>
      <c r="AH77" s="55">
        <v>4.4182320379317739</v>
      </c>
      <c r="AI77" s="55">
        <v>4.7026806276228683</v>
      </c>
      <c r="AJ77" s="55">
        <f t="shared" ca="1" si="29"/>
        <v>4.477145498313857</v>
      </c>
      <c r="AK77" s="55">
        <f t="shared" ca="1" si="41"/>
        <v>4.2228171019723449E-3</v>
      </c>
      <c r="AL77" s="55">
        <f t="shared" ca="1" si="42"/>
        <v>2.3087208683529148E-2</v>
      </c>
      <c r="AM77" s="55">
        <f t="shared" ca="1" si="42"/>
        <v>6.3111803320568524E-2</v>
      </c>
      <c r="AN77" s="55">
        <f t="shared" ca="1" si="42"/>
        <v>0.11501606143248619</v>
      </c>
      <c r="AO77" s="55">
        <f t="shared" ca="1" si="42"/>
        <v>0.15720547137887905</v>
      </c>
      <c r="AP77" s="55">
        <f t="shared" ca="1" si="42"/>
        <v>0.17189641115271384</v>
      </c>
      <c r="AQ77" s="55">
        <f t="shared" ca="1" si="52"/>
        <v>0.17038258813446935</v>
      </c>
      <c r="AR77" s="55">
        <f t="shared" ca="1" si="52"/>
        <v>0.19028037864598923</v>
      </c>
      <c r="AS77" s="55">
        <f t="shared" ca="1" si="52"/>
        <v>0.17000151432885166</v>
      </c>
      <c r="AT77" s="55">
        <f t="shared" ca="1" si="52"/>
        <v>0.11391288113790995</v>
      </c>
      <c r="AU77" s="55">
        <f t="shared" ca="1" si="52"/>
        <v>5.0886387847261516E-2</v>
      </c>
      <c r="AV77" s="55">
        <f t="shared" ca="1" si="52"/>
        <v>1.1365810618936977E-2</v>
      </c>
      <c r="AW77" s="55">
        <f t="shared" ca="1" si="31"/>
        <v>0.17189641115271384</v>
      </c>
      <c r="AX77" s="55">
        <f t="shared" ca="1" si="32"/>
        <v>0.19028037864598923</v>
      </c>
      <c r="AY77" s="54">
        <f t="shared" ca="1" si="43"/>
        <v>5</v>
      </c>
      <c r="AZ77" s="54">
        <f t="shared" ca="1" si="44"/>
        <v>4</v>
      </c>
      <c r="BA77" s="54" t="str">
        <f t="shared" si="45"/>
        <v>East BengalChennaiyin</v>
      </c>
      <c r="BB77" s="54">
        <f t="shared" si="53"/>
        <v>1</v>
      </c>
      <c r="BC77" s="54">
        <f t="shared" si="54"/>
        <v>1</v>
      </c>
      <c r="BD77" s="54">
        <f t="shared" si="55"/>
        <v>0</v>
      </c>
      <c r="BE77" s="54" t="str">
        <f t="shared" si="46"/>
        <v>HD</v>
      </c>
      <c r="BF77" s="55" t="str">
        <f t="shared" si="47"/>
        <v>AD</v>
      </c>
      <c r="BG77" s="86">
        <f t="shared" ca="1" si="48"/>
        <v>0.17108565890040522</v>
      </c>
      <c r="BH77" s="86">
        <f t="shared" ca="1" si="49"/>
        <v>8.7166244402978682E-2</v>
      </c>
      <c r="BI77" s="87">
        <f t="shared" ca="1" si="56"/>
        <v>0.74174809669661612</v>
      </c>
    </row>
    <row r="78" spans="1:61" x14ac:dyDescent="0.2">
      <c r="A78" s="52">
        <f>'ISL 8'!B79</f>
        <v>44592</v>
      </c>
      <c r="B78" s="54">
        <f>'ISL 8'!C79</f>
        <v>76</v>
      </c>
      <c r="C78" s="54" t="str">
        <f>'ISL 8'!D79</f>
        <v>Mumbai City</v>
      </c>
      <c r="D78" s="54">
        <f>IF('ISL 8'!E79&lt;&gt;"",'ISL 8'!E79,INDEX($AK$2:$AP$2,,MATCH($AW78,AK78:AP78,0)))</f>
        <v>1</v>
      </c>
      <c r="E78" s="54" t="str">
        <f>'ISL 8'!G79</f>
        <v>ATK-MB</v>
      </c>
      <c r="F78" s="54">
        <f>IF('ISL 8'!F79&lt;&gt;"",'ISL 8'!F79,INDEX($AQ$2:$AV$2,,MATCH($AX78,AQ78:AV78,0)))</f>
        <v>1</v>
      </c>
      <c r="G78" s="55">
        <f>VLOOKUP($C78,'ISL Total'!$D$5:$AH$15,25,0)</f>
        <v>1.711666848062984</v>
      </c>
      <c r="H78" s="55">
        <f>VLOOKUP($C78,'ISL Total'!$D$5:$AH$15,28,0)</f>
        <v>2.0663350700408412</v>
      </c>
      <c r="I78" s="55">
        <f>VLOOKUP($E78,'ISL Total'!$D$5:$AH$15,26,0)</f>
        <v>2.3848410244665827</v>
      </c>
      <c r="J78" s="55">
        <f>VLOOKUP(E78,'ISL Total'!$D$5:$AH$15,29,0)</f>
        <v>1.8807593937667644</v>
      </c>
      <c r="K78" s="55">
        <f t="shared" si="26"/>
        <v>4.6093277719707988</v>
      </c>
      <c r="L78" s="55">
        <f t="shared" si="27"/>
        <v>6.601298042799904</v>
      </c>
      <c r="M78" s="55">
        <f t="shared" ca="1" si="50"/>
        <v>4.5128743856701634</v>
      </c>
      <c r="N78" s="55">
        <v>4.9271656505335795</v>
      </c>
      <c r="O78" s="55">
        <v>4.5918383378232637</v>
      </c>
      <c r="P78" s="55">
        <v>4.321081410304247</v>
      </c>
      <c r="Q78" s="55">
        <v>4.699064003238103</v>
      </c>
      <c r="R78" s="55">
        <v>4.6122136521987196</v>
      </c>
      <c r="S78" s="55">
        <v>4.711307349619263</v>
      </c>
      <c r="T78" s="55">
        <v>4.2869343887638438</v>
      </c>
      <c r="U78" s="55">
        <v>4.5770497518384214</v>
      </c>
      <c r="V78" s="55">
        <v>4.7246797801615452</v>
      </c>
      <c r="W78" s="55">
        <v>4.7853262372410734</v>
      </c>
      <c r="X78" s="55">
        <f t="shared" ca="1" si="28"/>
        <v>4.6135940861265663</v>
      </c>
      <c r="Y78" s="55">
        <f t="shared" ca="1" si="51"/>
        <v>6.6929675752379723</v>
      </c>
      <c r="Z78" s="55">
        <v>6.482906837411142</v>
      </c>
      <c r="AA78" s="55">
        <v>6.4894977323743408</v>
      </c>
      <c r="AB78" s="55">
        <v>6.7661950326206757</v>
      </c>
      <c r="AC78" s="55">
        <v>6.8672328316175832</v>
      </c>
      <c r="AD78" s="55">
        <v>6.9481095897963119</v>
      </c>
      <c r="AE78" s="55">
        <v>6.2585773181402029</v>
      </c>
      <c r="AF78" s="55">
        <v>6.923032373262191</v>
      </c>
      <c r="AG78" s="55">
        <v>6.6871514038352702</v>
      </c>
      <c r="AH78" s="55">
        <v>6.4470067729408687</v>
      </c>
      <c r="AI78" s="55">
        <v>6.5577934337818347</v>
      </c>
      <c r="AJ78" s="55">
        <f t="shared" ca="1" si="29"/>
        <v>6.647315536456218</v>
      </c>
      <c r="AK78" s="55">
        <f t="shared" ca="1" si="41"/>
        <v>9.9161148148816276E-3</v>
      </c>
      <c r="AL78" s="55">
        <f t="shared" ca="1" si="42"/>
        <v>4.5748928667289905E-2</v>
      </c>
      <c r="AM78" s="55">
        <f t="shared" ca="1" si="42"/>
        <v>0.10553349337301744</v>
      </c>
      <c r="AN78" s="55">
        <f t="shared" ca="1" si="42"/>
        <v>0.1622962336380101</v>
      </c>
      <c r="AO78" s="55">
        <f t="shared" ca="1" si="42"/>
        <v>0.18719223592823478</v>
      </c>
      <c r="AP78" s="55">
        <f t="shared" ca="1" si="42"/>
        <v>0.17272579852946254</v>
      </c>
      <c r="AQ78" s="55">
        <f t="shared" ca="1" si="52"/>
        <v>0.14033234074872419</v>
      </c>
      <c r="AR78" s="55">
        <f t="shared" ca="1" si="52"/>
        <v>0.10555564872698783</v>
      </c>
      <c r="AS78" s="55">
        <f t="shared" ca="1" si="52"/>
        <v>6.351776030373972E-2</v>
      </c>
      <c r="AT78" s="55">
        <f t="shared" ca="1" si="52"/>
        <v>2.8666200643877669E-2</v>
      </c>
      <c r="AU78" s="55">
        <f t="shared" ca="1" si="52"/>
        <v>8.624895414295326E-3</v>
      </c>
      <c r="AV78" s="55">
        <f t="shared" ca="1" si="52"/>
        <v>1.2975005273923534E-3</v>
      </c>
      <c r="AW78" s="55">
        <f t="shared" ca="1" si="31"/>
        <v>0.18719223592823478</v>
      </c>
      <c r="AX78" s="55">
        <f t="shared" ca="1" si="32"/>
        <v>0.14033234074872419</v>
      </c>
      <c r="AY78" s="54">
        <f t="shared" ca="1" si="43"/>
        <v>4</v>
      </c>
      <c r="AZ78" s="54">
        <f t="shared" ca="1" si="44"/>
        <v>5</v>
      </c>
      <c r="BA78" s="54" t="str">
        <f t="shared" si="45"/>
        <v>Mumbai CityATK-MB</v>
      </c>
      <c r="BB78" s="54">
        <f t="shared" si="53"/>
        <v>1</v>
      </c>
      <c r="BC78" s="54">
        <f t="shared" si="54"/>
        <v>1</v>
      </c>
      <c r="BD78" s="54">
        <f t="shared" si="55"/>
        <v>0</v>
      </c>
      <c r="BE78" s="54" t="str">
        <f t="shared" si="46"/>
        <v>HD</v>
      </c>
      <c r="BF78" s="55" t="str">
        <f t="shared" si="47"/>
        <v>AD</v>
      </c>
      <c r="BG78" s="86">
        <f t="shared" ca="1" si="48"/>
        <v>6.2351391245543092E-2</v>
      </c>
      <c r="BH78" s="86">
        <f t="shared" ca="1" si="49"/>
        <v>5.7739596966764742E-2</v>
      </c>
      <c r="BI78" s="87">
        <f t="shared" ca="1" si="56"/>
        <v>0.87990901178769221</v>
      </c>
    </row>
    <row r="79" spans="1:61" x14ac:dyDescent="0.2">
      <c r="A79" s="52">
        <f>'ISL 8'!B80</f>
        <v>44593</v>
      </c>
      <c r="B79" s="54">
        <f>'ISL 8'!C80</f>
        <v>77</v>
      </c>
      <c r="C79" s="54" t="str">
        <f>'ISL 8'!D80</f>
        <v>Kerala Blasters</v>
      </c>
      <c r="D79" s="54">
        <f ca="1">IF('ISL 8'!E80&lt;&gt;"",'ISL 8'!E80,INDEX($AK$2:$AP$2,,MATCH($AW79,AK79:AP79,0)))</f>
        <v>5</v>
      </c>
      <c r="E79" s="54" t="str">
        <f>'ISL 8'!G80</f>
        <v>NorthEast United</v>
      </c>
      <c r="F79" s="54">
        <f ca="1">IF('ISL 8'!F80&lt;&gt;"",'ISL 8'!F80,INDEX($AQ$2:$AV$2,,MATCH($AX79,AQ79:AV79,0)))</f>
        <v>4</v>
      </c>
      <c r="G79" s="55">
        <f>VLOOKUP($C79,'ISL Total'!$D$5:$AH$15,25,0)</f>
        <v>1.7408543887928634</v>
      </c>
      <c r="H79" s="55">
        <f>VLOOKUP($C79,'ISL Total'!$D$5:$AH$15,28,0)</f>
        <v>1.6729569830909576</v>
      </c>
      <c r="I79" s="55">
        <f>VLOOKUP($E79,'ISL Total'!$D$5:$AH$15,26,0)</f>
        <v>1.8614679949616395</v>
      </c>
      <c r="J79" s="55">
        <f>VLOOKUP(E79,'ISL Total'!$D$5:$AH$15,29,0)</f>
        <v>2.7778362426875027</v>
      </c>
      <c r="K79" s="55">
        <f t="shared" si="26"/>
        <v>6.9239544134883735</v>
      </c>
      <c r="L79" s="55">
        <f t="shared" si="27"/>
        <v>4.171665793391873</v>
      </c>
      <c r="M79" s="55">
        <f t="shared" ca="1" si="50"/>
        <v>6.6880218698335074</v>
      </c>
      <c r="N79" s="55">
        <v>7.1134257787423776</v>
      </c>
      <c r="O79" s="55">
        <v>7.0394373674956556</v>
      </c>
      <c r="P79" s="55">
        <v>7.2269951964405541</v>
      </c>
      <c r="Q79" s="55">
        <v>7.1583156375739128</v>
      </c>
      <c r="R79" s="55">
        <v>7.0259161742787173</v>
      </c>
      <c r="S79" s="55">
        <v>7.4332136211334277</v>
      </c>
      <c r="T79" s="55">
        <v>7.1639967314646187</v>
      </c>
      <c r="U79" s="55">
        <v>7.6046446478236938</v>
      </c>
      <c r="V79" s="55">
        <v>6.755669249682458</v>
      </c>
      <c r="W79" s="55">
        <v>6.7737112709974658</v>
      </c>
      <c r="X79" s="55">
        <f t="shared" ca="1" si="28"/>
        <v>7.0893952314060353</v>
      </c>
      <c r="Y79" s="55">
        <f t="shared" ca="1" si="51"/>
        <v>3.9131244496802555</v>
      </c>
      <c r="Z79" s="55">
        <v>4.2040862029843078</v>
      </c>
      <c r="AA79" s="55">
        <v>3.6673795636076685</v>
      </c>
      <c r="AB79" s="55">
        <v>4.0952863614346366</v>
      </c>
      <c r="AC79" s="55">
        <v>3.8819588239225546</v>
      </c>
      <c r="AD79" s="55">
        <v>4.289018970239451</v>
      </c>
      <c r="AE79" s="55">
        <v>4.4159569438793325</v>
      </c>
      <c r="AF79" s="55">
        <v>4.8339940219048394</v>
      </c>
      <c r="AG79" s="55">
        <v>3.9730407575228726</v>
      </c>
      <c r="AH79" s="55">
        <v>4.5176294998721307</v>
      </c>
      <c r="AI79" s="55">
        <v>4.6510380233550226</v>
      </c>
      <c r="AJ79" s="55">
        <f t="shared" ca="1" si="29"/>
        <v>4.2220466925820972</v>
      </c>
      <c r="AK79" s="55">
        <f t="shared" ca="1" si="41"/>
        <v>8.3390153059591764E-4</v>
      </c>
      <c r="AL79" s="55">
        <f t="shared" ca="1" si="42"/>
        <v>5.9118575344688923E-3</v>
      </c>
      <c r="AM79" s="55">
        <f t="shared" ca="1" si="42"/>
        <v>2.0955747306807809E-2</v>
      </c>
      <c r="AN79" s="55">
        <f t="shared" ca="1" si="42"/>
        <v>4.9521191675811031E-2</v>
      </c>
      <c r="AO79" s="55">
        <f t="shared" ca="1" si="42"/>
        <v>8.7768825030009767E-2</v>
      </c>
      <c r="AP79" s="55">
        <f t="shared" ca="1" si="42"/>
        <v>0.12444557792677237</v>
      </c>
      <c r="AQ79" s="55">
        <f t="shared" ca="1" si="52"/>
        <v>0.16399187553895125</v>
      </c>
      <c r="AR79" s="55">
        <f t="shared" ca="1" si="52"/>
        <v>0.19420897905638509</v>
      </c>
      <c r="AS79" s="55">
        <f t="shared" ca="1" si="52"/>
        <v>0.18399510303625918</v>
      </c>
      <c r="AT79" s="55">
        <f t="shared" ca="1" si="52"/>
        <v>0.1307387978627961</v>
      </c>
      <c r="AU79" s="55">
        <f t="shared" ca="1" si="52"/>
        <v>6.1931478916373378E-2</v>
      </c>
      <c r="AV79" s="55">
        <f t="shared" ca="1" si="52"/>
        <v>1.4668591663181645E-2</v>
      </c>
      <c r="AW79" s="55">
        <f t="shared" ca="1" si="31"/>
        <v>0.12444557792677237</v>
      </c>
      <c r="AX79" s="55">
        <f t="shared" ca="1" si="32"/>
        <v>0.19420897905638509</v>
      </c>
      <c r="AY79" s="54">
        <f t="shared" ca="1" si="43"/>
        <v>5</v>
      </c>
      <c r="AZ79" s="54">
        <f t="shared" ca="1" si="44"/>
        <v>4</v>
      </c>
      <c r="BA79" s="54" t="str">
        <f t="shared" si="45"/>
        <v>Kerala BlastersNorthEast United</v>
      </c>
      <c r="BB79" s="54">
        <f t="shared" ca="1" si="53"/>
        <v>3</v>
      </c>
      <c r="BC79" s="54">
        <f t="shared" ca="1" si="54"/>
        <v>0</v>
      </c>
      <c r="BD79" s="54">
        <f t="shared" ca="1" si="55"/>
        <v>1</v>
      </c>
      <c r="BE79" s="54" t="str">
        <f t="shared" ca="1" si="46"/>
        <v>HW</v>
      </c>
      <c r="BF79" s="55" t="str">
        <f t="shared" ca="1" si="47"/>
        <v>AL</v>
      </c>
      <c r="BG79" s="86">
        <f t="shared" ca="1" si="48"/>
        <v>0.11917475194415222</v>
      </c>
      <c r="BH79" s="86">
        <f t="shared" ca="1" si="49"/>
        <v>4.9683305846166759E-2</v>
      </c>
      <c r="BI79" s="87">
        <f t="shared" ca="1" si="56"/>
        <v>0.83114194220968107</v>
      </c>
    </row>
    <row r="80" spans="1:61" x14ac:dyDescent="0.2">
      <c r="A80" s="52">
        <f>'ISL 8'!B81</f>
        <v>44594</v>
      </c>
      <c r="B80" s="54">
        <f>'ISL 8'!C81</f>
        <v>78</v>
      </c>
      <c r="C80" s="54" t="str">
        <f>'ISL 8'!D81</f>
        <v>Bengaluru</v>
      </c>
      <c r="D80" s="54">
        <f ca="1">IF('ISL 8'!E81&lt;&gt;"",'ISL 8'!E81,INDEX($AK$2:$AP$2,,MATCH($AW80,AK80:AP80,0)))</f>
        <v>5</v>
      </c>
      <c r="E80" s="54" t="str">
        <f>'ISL 8'!G81</f>
        <v>Jamshedpur</v>
      </c>
      <c r="F80" s="54">
        <f ca="1">IF('ISL 8'!F81&lt;&gt;"",'ISL 8'!F81,INDEX($AQ$2:$AV$2,,MATCH($AX80,AQ80:AV80,0)))</f>
        <v>4</v>
      </c>
      <c r="G80" s="55">
        <f>VLOOKUP($C80,'ISL Total'!$D$5:$AH$15,25,0)</f>
        <v>2.2973875558619734</v>
      </c>
      <c r="H80" s="55">
        <f>VLOOKUP($C80,'ISL Total'!$D$5:$AH$15,28,0)</f>
        <v>1.7201477155616627</v>
      </c>
      <c r="I80" s="55">
        <f>VLOOKUP($E80,'ISL Total'!$D$5:$AH$15,26,0)</f>
        <v>2.1921504637581588</v>
      </c>
      <c r="J80" s="55">
        <f>VLOOKUP(E80,'ISL Total'!$D$5:$AH$15,29,0)</f>
        <v>1.9716600419922359</v>
      </c>
      <c r="K80" s="55">
        <f t="shared" si="26"/>
        <v>6.48561870609152</v>
      </c>
      <c r="L80" s="55">
        <f t="shared" si="27"/>
        <v>5.0513244379389057</v>
      </c>
      <c r="M80" s="55">
        <f t="shared" ca="1" si="50"/>
        <v>6.462267626695426</v>
      </c>
      <c r="N80" s="55">
        <v>6.7149527262688702</v>
      </c>
      <c r="O80" s="55">
        <v>6.7462652665203562</v>
      </c>
      <c r="P80" s="55">
        <v>6.301298333999112</v>
      </c>
      <c r="Q80" s="55">
        <v>6.4748347345145811</v>
      </c>
      <c r="R80" s="55">
        <v>6.5653842658298327</v>
      </c>
      <c r="S80" s="55">
        <v>6.8286084732378534</v>
      </c>
      <c r="T80" s="55">
        <v>6.5250601168463014</v>
      </c>
      <c r="U80" s="55">
        <v>6.7846126315499236</v>
      </c>
      <c r="V80" s="55">
        <v>6.5458212388070152</v>
      </c>
      <c r="W80" s="55">
        <v>6.9395602468577628</v>
      </c>
      <c r="X80" s="55">
        <f t="shared" ca="1" si="28"/>
        <v>6.6262423328297322</v>
      </c>
      <c r="Y80" s="55">
        <f t="shared" ca="1" si="51"/>
        <v>4.9072469969820451</v>
      </c>
      <c r="Z80" s="55">
        <v>5.0243430249732226</v>
      </c>
      <c r="AA80" s="55">
        <v>5.2241249500418583</v>
      </c>
      <c r="AB80" s="55">
        <v>4.9558982427504414</v>
      </c>
      <c r="AC80" s="55">
        <v>5.3699860548489369</v>
      </c>
      <c r="AD80" s="55">
        <v>5.026185395269489</v>
      </c>
      <c r="AE80" s="55">
        <v>5.0394311013373105</v>
      </c>
      <c r="AF80" s="55">
        <v>4.7857675566173867</v>
      </c>
      <c r="AG80" s="55">
        <v>5.0110102424337084</v>
      </c>
      <c r="AH80" s="55">
        <v>4.8373914853500075</v>
      </c>
      <c r="AI80" s="55">
        <v>4.6606156630230542</v>
      </c>
      <c r="AJ80" s="55">
        <f t="shared" ca="1" si="29"/>
        <v>4.9856364285115866</v>
      </c>
      <c r="AK80" s="55">
        <f t="shared" ca="1" si="41"/>
        <v>1.3251331515862113E-3</v>
      </c>
      <c r="AL80" s="55">
        <f t="shared" ca="1" si="42"/>
        <v>8.7806533856766324E-3</v>
      </c>
      <c r="AM80" s="55">
        <f t="shared" ca="1" si="42"/>
        <v>2.9091368587037605E-2</v>
      </c>
      <c r="AN80" s="55">
        <f t="shared" ca="1" si="42"/>
        <v>6.4255486017127217E-2</v>
      </c>
      <c r="AO80" s="55">
        <f t="shared" ca="1" si="42"/>
        <v>0.10644310539080934</v>
      </c>
      <c r="AP80" s="55">
        <f t="shared" ca="1" si="42"/>
        <v>0.1410635621956875</v>
      </c>
      <c r="AQ80" s="55">
        <f t="shared" ca="1" si="52"/>
        <v>0.17546374275168503</v>
      </c>
      <c r="AR80" s="55">
        <f t="shared" ca="1" si="52"/>
        <v>0.17596925213825515</v>
      </c>
      <c r="AS80" s="55">
        <f t="shared" ca="1" si="52"/>
        <v>0.14118097431407689</v>
      </c>
      <c r="AT80" s="55">
        <f t="shared" ca="1" si="52"/>
        <v>8.495262922103515E-2</v>
      </c>
      <c r="AU80" s="55">
        <f t="shared" ca="1" si="52"/>
        <v>3.4078950777562789E-2</v>
      </c>
      <c r="AV80" s="55">
        <f t="shared" ca="1" si="52"/>
        <v>6.8354263826126459E-3</v>
      </c>
      <c r="AW80" s="55">
        <f t="shared" ca="1" si="31"/>
        <v>0.1410635621956875</v>
      </c>
      <c r="AX80" s="55">
        <f t="shared" ca="1" si="32"/>
        <v>0.17596925213825515</v>
      </c>
      <c r="AY80" s="54">
        <f t="shared" ca="1" si="43"/>
        <v>5</v>
      </c>
      <c r="AZ80" s="54">
        <f t="shared" ca="1" si="44"/>
        <v>4</v>
      </c>
      <c r="BA80" s="54" t="str">
        <f t="shared" si="45"/>
        <v>BengaluruJamshedpur</v>
      </c>
      <c r="BB80" s="54">
        <f t="shared" ca="1" si="53"/>
        <v>3</v>
      </c>
      <c r="BC80" s="54">
        <f t="shared" ca="1" si="54"/>
        <v>0</v>
      </c>
      <c r="BD80" s="54">
        <f t="shared" ca="1" si="55"/>
        <v>1</v>
      </c>
      <c r="BE80" s="54" t="str">
        <f t="shared" ca="1" si="46"/>
        <v>HW</v>
      </c>
      <c r="BF80" s="55" t="str">
        <f t="shared" ca="1" si="47"/>
        <v>AL</v>
      </c>
      <c r="BG80" s="86">
        <f t="shared" ca="1" si="48"/>
        <v>0.10025692573595743</v>
      </c>
      <c r="BH80" s="86">
        <f t="shared" ca="1" si="49"/>
        <v>5.5333587914294408E-2</v>
      </c>
      <c r="BI80" s="87">
        <f t="shared" ca="1" si="56"/>
        <v>0.84440948634974822</v>
      </c>
    </row>
    <row r="81" spans="1:61" x14ac:dyDescent="0.2">
      <c r="A81" s="52">
        <f>'ISL 8'!B82</f>
        <v>44595</v>
      </c>
      <c r="B81" s="54">
        <f>'ISL 8'!C82</f>
        <v>79</v>
      </c>
      <c r="C81" s="54" t="str">
        <f>'ISL 8'!D82</f>
        <v>Chennaiyin</v>
      </c>
      <c r="D81" s="54">
        <f ca="1">IF('ISL 8'!E82&lt;&gt;"",'ISL 8'!E82,INDEX($AK$2:$AP$2,,MATCH($AW81,AK81:AP81,0)))</f>
        <v>4</v>
      </c>
      <c r="E81" s="54" t="str">
        <f>'ISL 8'!G82</f>
        <v>Mumbai City</v>
      </c>
      <c r="F81" s="54">
        <f ca="1">IF('ISL 8'!F82&lt;&gt;"",'ISL 8'!F82,INDEX($AQ$2:$AV$2,,MATCH($AX81,AQ81:AV81,0)))</f>
        <v>5</v>
      </c>
      <c r="G81" s="55">
        <f>VLOOKUP($C81,'ISL Total'!$D$5:$AH$15,25,0)</f>
        <v>1.6923160070404248</v>
      </c>
      <c r="H81" s="55">
        <f>VLOOKUP($C81,'ISL Total'!$D$5:$AH$15,28,0)</f>
        <v>2.1914366960571012</v>
      </c>
      <c r="I81" s="55">
        <f>VLOOKUP($E81,'ISL Total'!$D$5:$AH$15,26,0)</f>
        <v>2.4343333715027291</v>
      </c>
      <c r="J81" s="55">
        <f>VLOOKUP(E81,'ISL Total'!$D$5:$AH$15,29,0)</f>
        <v>1.9843487615958779</v>
      </c>
      <c r="K81" s="55">
        <f t="shared" si="26"/>
        <v>4.8082227618768867</v>
      </c>
      <c r="L81" s="55">
        <f t="shared" si="27"/>
        <v>7.1462489780467555</v>
      </c>
      <c r="M81" s="55">
        <f t="shared" ca="1" si="50"/>
        <v>4.5467696341291841</v>
      </c>
      <c r="N81" s="55">
        <v>4.8538463984663922</v>
      </c>
      <c r="O81" s="55">
        <v>4.9067544725545833</v>
      </c>
      <c r="P81" s="55">
        <v>4.8532082450415395</v>
      </c>
      <c r="Q81" s="55">
        <v>4.9404119399350668</v>
      </c>
      <c r="R81" s="55">
        <v>4.5172147559122919</v>
      </c>
      <c r="S81" s="55">
        <v>4.9637888301038906</v>
      </c>
      <c r="T81" s="55">
        <v>4.5076628538955665</v>
      </c>
      <c r="U81" s="55">
        <v>4.6947020465141316</v>
      </c>
      <c r="V81" s="55">
        <v>4.5760067974413836</v>
      </c>
      <c r="W81" s="55">
        <v>4.6451962865222267</v>
      </c>
      <c r="X81" s="55">
        <f t="shared" ca="1" si="28"/>
        <v>4.7277783873196606</v>
      </c>
      <c r="Y81" s="55">
        <f t="shared" ca="1" si="51"/>
        <v>6.9435097523612477</v>
      </c>
      <c r="Z81" s="55">
        <v>6.9125951868309157</v>
      </c>
      <c r="AA81" s="55">
        <v>7.0291299189412921</v>
      </c>
      <c r="AB81" s="55">
        <v>6.9969161726994331</v>
      </c>
      <c r="AC81" s="55">
        <v>7.3778862489212251</v>
      </c>
      <c r="AD81" s="55">
        <v>6.942047524658765</v>
      </c>
      <c r="AE81" s="55">
        <v>7.1573435355426032</v>
      </c>
      <c r="AF81" s="55">
        <v>7.1261020223993397</v>
      </c>
      <c r="AG81" s="55">
        <v>7.0131100473350987</v>
      </c>
      <c r="AH81" s="55">
        <v>7.0756034620595978</v>
      </c>
      <c r="AI81" s="55">
        <v>6.9343112865366248</v>
      </c>
      <c r="AJ81" s="55">
        <f t="shared" ca="1" si="29"/>
        <v>7.0462322871169221</v>
      </c>
      <c r="AK81" s="55">
        <f t="shared" ca="1" si="41"/>
        <v>8.8461018376519429E-3</v>
      </c>
      <c r="AL81" s="55">
        <f t="shared" ca="1" si="42"/>
        <v>4.1822409080079587E-2</v>
      </c>
      <c r="AM81" s="55">
        <f t="shared" ca="1" si="42"/>
        <v>9.8863540877220935E-2</v>
      </c>
      <c r="AN81" s="55">
        <f t="shared" ca="1" si="42"/>
        <v>0.15580163728440635</v>
      </c>
      <c r="AO81" s="55">
        <f t="shared" ca="1" si="42"/>
        <v>0.18414890336555828</v>
      </c>
      <c r="AP81" s="55">
        <f t="shared" ca="1" si="42"/>
        <v>0.17412304107606061</v>
      </c>
      <c r="AQ81" s="55">
        <f t="shared" ca="1" si="52"/>
        <v>0.12602703937231299</v>
      </c>
      <c r="AR81" s="55">
        <f t="shared" ca="1" si="52"/>
        <v>8.9428672116541152E-2</v>
      </c>
      <c r="AS81" s="55">
        <f t="shared" ca="1" si="52"/>
        <v>5.0766803291483462E-2</v>
      </c>
      <c r="AT81" s="55">
        <f t="shared" ca="1" si="52"/>
        <v>2.1614446369148377E-2</v>
      </c>
      <c r="AU81" s="55">
        <f t="shared" ca="1" si="52"/>
        <v>6.1350365666109127E-3</v>
      </c>
      <c r="AV81" s="55">
        <f t="shared" ca="1" si="52"/>
        <v>8.7068326967136643E-4</v>
      </c>
      <c r="AW81" s="55">
        <f t="shared" ca="1" si="31"/>
        <v>0.18414890336555828</v>
      </c>
      <c r="AX81" s="55">
        <f t="shared" ca="1" si="32"/>
        <v>0.12602703937231299</v>
      </c>
      <c r="AY81" s="54">
        <f t="shared" ca="1" si="43"/>
        <v>4</v>
      </c>
      <c r="AZ81" s="54">
        <f t="shared" ca="1" si="44"/>
        <v>5</v>
      </c>
      <c r="BA81" s="54" t="str">
        <f t="shared" si="45"/>
        <v>ChennaiyinMumbai City</v>
      </c>
      <c r="BB81" s="54">
        <f t="shared" ca="1" si="53"/>
        <v>0</v>
      </c>
      <c r="BC81" s="54">
        <f t="shared" ca="1" si="54"/>
        <v>3</v>
      </c>
      <c r="BD81" s="54">
        <f t="shared" ca="1" si="55"/>
        <v>1</v>
      </c>
      <c r="BE81" s="54" t="str">
        <f t="shared" ca="1" si="46"/>
        <v>HL</v>
      </c>
      <c r="BF81" s="55" t="str">
        <f t="shared" ca="1" si="47"/>
        <v>AW</v>
      </c>
      <c r="BG81" s="86">
        <f t="shared" ca="1" si="48"/>
        <v>4.9201809368762915E-2</v>
      </c>
      <c r="BH81" s="86">
        <f t="shared" ca="1" si="49"/>
        <v>4.8723119189563915E-2</v>
      </c>
      <c r="BI81" s="87">
        <f t="shared" ca="1" si="56"/>
        <v>0.9020750714416732</v>
      </c>
    </row>
    <row r="82" spans="1:61" x14ac:dyDescent="0.2">
      <c r="A82" s="52">
        <f>'ISL 8'!B83</f>
        <v>44596</v>
      </c>
      <c r="B82" s="54">
        <f>'ISL 8'!C83</f>
        <v>80</v>
      </c>
      <c r="C82" s="54" t="str">
        <f>'ISL 8'!D83</f>
        <v>East Bengal</v>
      </c>
      <c r="D82" s="54">
        <f ca="1">IF('ISL 8'!E83&lt;&gt;"",'ISL 8'!E83,INDEX($AK$2:$AP$2,,MATCH($AW82,AK82:AP82,0)))</f>
        <v>4</v>
      </c>
      <c r="E82" s="54" t="str">
        <f>'ISL 8'!G83</f>
        <v>Odisha</v>
      </c>
      <c r="F82" s="54">
        <f ca="1">IF('ISL 8'!F83&lt;&gt;"",'ISL 8'!F83,INDEX($AQ$2:$AV$2,,MATCH($AX82,AQ82:AV82,0)))</f>
        <v>2</v>
      </c>
      <c r="G82" s="55">
        <f>VLOOKUP($C82,'ISL Total'!$D$5:$AH$15,25,0)</f>
        <v>2.2983657473042753</v>
      </c>
      <c r="H82" s="55">
        <f>VLOOKUP($C82,'ISL Total'!$D$5:$AH$15,28,0)</f>
        <v>2.2682850490476736</v>
      </c>
      <c r="I82" s="55">
        <f>VLOOKUP($E82,'ISL Total'!$D$5:$AH$15,26,0)</f>
        <v>0.79788732394366213</v>
      </c>
      <c r="J82" s="55">
        <f>VLOOKUP(E82,'ISL Total'!$D$5:$AH$15,29,0)</f>
        <v>1.3928240740740743</v>
      </c>
      <c r="K82" s="55">
        <f t="shared" si="26"/>
        <v>4.5835346482334085</v>
      </c>
      <c r="L82" s="55">
        <f t="shared" si="27"/>
        <v>2.4244227819850712</v>
      </c>
      <c r="M82" s="55">
        <f t="shared" ca="1" si="50"/>
        <v>4.94014715359509</v>
      </c>
      <c r="N82" s="55">
        <v>4.8770607993040596</v>
      </c>
      <c r="O82" s="55">
        <v>4.6219911360079919</v>
      </c>
      <c r="P82" s="55">
        <v>4.2480846179431282</v>
      </c>
      <c r="Q82" s="55">
        <v>4.4994313806721742</v>
      </c>
      <c r="R82" s="55">
        <v>4.3442537257538847</v>
      </c>
      <c r="S82" s="55">
        <v>4.4698744533214159</v>
      </c>
      <c r="T82" s="55">
        <v>4.5855186153089731</v>
      </c>
      <c r="U82" s="55">
        <v>4.3433395871079172</v>
      </c>
      <c r="V82" s="55">
        <v>3.8586014746930473</v>
      </c>
      <c r="W82" s="55">
        <v>4.6498746060453335</v>
      </c>
      <c r="X82" s="55">
        <f t="shared" ca="1" si="28"/>
        <v>4.4943797772502734</v>
      </c>
      <c r="Y82" s="55">
        <f t="shared" ca="1" si="51"/>
        <v>2.9121711306810818</v>
      </c>
      <c r="Z82" s="55">
        <v>2.3833733050630963</v>
      </c>
      <c r="AA82" s="55">
        <v>2.2633224380607948</v>
      </c>
      <c r="AB82" s="55">
        <v>2.5183330334242604</v>
      </c>
      <c r="AC82" s="55">
        <v>2.0405645306679356</v>
      </c>
      <c r="AD82" s="55">
        <v>2.5725454390121434</v>
      </c>
      <c r="AE82" s="55">
        <v>2.4100911629872557</v>
      </c>
      <c r="AF82" s="55">
        <v>2.6666284709913075</v>
      </c>
      <c r="AG82" s="55">
        <v>2.066550259511553</v>
      </c>
      <c r="AH82" s="55">
        <v>2.4604868821472436</v>
      </c>
      <c r="AI82" s="55">
        <v>2.3556948205884258</v>
      </c>
      <c r="AJ82" s="55">
        <f t="shared" ca="1" si="29"/>
        <v>2.4227055884668274</v>
      </c>
      <c r="AK82" s="55">
        <f t="shared" ca="1" si="41"/>
        <v>1.1171607351865998E-2</v>
      </c>
      <c r="AL82" s="55">
        <f t="shared" ca="1" si="42"/>
        <v>5.0209446161607017E-2</v>
      </c>
      <c r="AM82" s="55">
        <f t="shared" ca="1" si="42"/>
        <v>0.11283015972783149</v>
      </c>
      <c r="AN82" s="55">
        <f t="shared" ca="1" si="42"/>
        <v>0.16903386271489468</v>
      </c>
      <c r="AO82" s="55">
        <f t="shared" ca="1" si="42"/>
        <v>0.18992559356408045</v>
      </c>
      <c r="AP82" s="55">
        <f t="shared" ca="1" si="42"/>
        <v>0.17071954937933154</v>
      </c>
      <c r="AQ82" s="55">
        <f t="shared" ca="1" si="52"/>
        <v>6.1681409748797517E-2</v>
      </c>
      <c r="AR82" s="55">
        <f t="shared" ca="1" si="52"/>
        <v>0.12729860789199668</v>
      </c>
      <c r="AS82" s="55">
        <f t="shared" ca="1" si="52"/>
        <v>0.21017594295897199</v>
      </c>
      <c r="AT82" s="55">
        <f t="shared" ca="1" si="52"/>
        <v>0.26025771842790685</v>
      </c>
      <c r="AU82" s="55">
        <f t="shared" ca="1" si="52"/>
        <v>0.21484881998609409</v>
      </c>
      <c r="AV82" s="55">
        <f t="shared" ca="1" si="52"/>
        <v>8.8681357325822635E-2</v>
      </c>
      <c r="AW82" s="55">
        <f t="shared" ca="1" si="31"/>
        <v>0.18992559356408045</v>
      </c>
      <c r="AX82" s="55">
        <f t="shared" ca="1" si="32"/>
        <v>0.26025771842790685</v>
      </c>
      <c r="AY82" s="54">
        <f t="shared" ca="1" si="43"/>
        <v>4</v>
      </c>
      <c r="AZ82" s="54">
        <f t="shared" ca="1" si="44"/>
        <v>2</v>
      </c>
      <c r="BA82" s="54" t="str">
        <f t="shared" si="45"/>
        <v>East BengalOdisha</v>
      </c>
      <c r="BB82" s="54">
        <f t="shared" ca="1" si="53"/>
        <v>3</v>
      </c>
      <c r="BC82" s="54">
        <f t="shared" ca="1" si="54"/>
        <v>0</v>
      </c>
      <c r="BD82" s="54">
        <f t="shared" ca="1" si="55"/>
        <v>2</v>
      </c>
      <c r="BE82" s="54" t="str">
        <f t="shared" ca="1" si="46"/>
        <v>HW</v>
      </c>
      <c r="BF82" s="55" t="str">
        <f t="shared" ca="1" si="47"/>
        <v>AL</v>
      </c>
      <c r="BG82" s="86">
        <f t="shared" ca="1" si="48"/>
        <v>0.4348579062098113</v>
      </c>
      <c r="BH82" s="86">
        <f t="shared" ca="1" si="49"/>
        <v>0.11137741113333856</v>
      </c>
      <c r="BI82" s="87">
        <f t="shared" ca="1" si="56"/>
        <v>0.4537646826568501</v>
      </c>
    </row>
    <row r="83" spans="1:61" x14ac:dyDescent="0.2">
      <c r="A83" s="52">
        <f>'ISL 8'!B84</f>
        <v>44597</v>
      </c>
      <c r="B83" s="54">
        <f>'ISL 8'!C84</f>
        <v>81</v>
      </c>
      <c r="C83" s="54" t="str">
        <f>'ISL 8'!D84</f>
        <v>Hyderabad</v>
      </c>
      <c r="D83" s="54">
        <f ca="1">IF('ISL 8'!E84&lt;&gt;"",'ISL 8'!E84,INDEX($AK$2:$AP$2,,MATCH($AW83,AK83:AP83,0)))</f>
        <v>5</v>
      </c>
      <c r="E83" s="54" t="str">
        <f>'ISL 8'!G84</f>
        <v>ATK-MB</v>
      </c>
      <c r="F83" s="54">
        <f ca="1">IF('ISL 8'!F84&lt;&gt;"",'ISL 8'!F84,INDEX($AQ$2:$AV$2,,MATCH($AX83,AQ83:AV83,0)))</f>
        <v>5</v>
      </c>
      <c r="G83" s="55">
        <f>VLOOKUP($C83,'ISL Total'!$D$5:$AH$15,25,0)</f>
        <v>2.6008540597170162</v>
      </c>
      <c r="H83" s="55">
        <f>VLOOKUP($C83,'ISL Total'!$D$5:$AH$15,28,0)</f>
        <v>1.7011584411618765</v>
      </c>
      <c r="I83" s="55">
        <f>VLOOKUP($E83,'ISL Total'!$D$5:$AH$15,26,0)</f>
        <v>2.3848410244665827</v>
      </c>
      <c r="J83" s="55">
        <f>VLOOKUP(E83,'ISL Total'!$D$5:$AH$15,29,0)</f>
        <v>1.8807593937667644</v>
      </c>
      <c r="K83" s="55">
        <f t="shared" si="26"/>
        <v>7.0038096851984566</v>
      </c>
      <c r="L83" s="55">
        <f t="shared" si="27"/>
        <v>5.4346722615091032</v>
      </c>
      <c r="M83" s="55">
        <f t="shared" ca="1" si="50"/>
        <v>7.1381242701631633</v>
      </c>
      <c r="N83" s="55">
        <v>7.0757958796715323</v>
      </c>
      <c r="O83" s="55">
        <v>7.1508878458022753</v>
      </c>
      <c r="P83" s="55">
        <v>6.348881902574016</v>
      </c>
      <c r="Q83" s="55">
        <v>6.6480966323871131</v>
      </c>
      <c r="R83" s="55">
        <v>7.047575895364405</v>
      </c>
      <c r="S83" s="55">
        <v>7.2798759310806327</v>
      </c>
      <c r="T83" s="55">
        <v>7.0264312261915194</v>
      </c>
      <c r="U83" s="55">
        <v>6.5155157311455998</v>
      </c>
      <c r="V83" s="55">
        <v>7.1427684128740641</v>
      </c>
      <c r="W83" s="55">
        <v>6.5714252623563265</v>
      </c>
      <c r="X83" s="55">
        <f t="shared" ca="1" si="28"/>
        <v>6.904125362691877</v>
      </c>
      <c r="Y83" s="55">
        <f t="shared" ca="1" si="51"/>
        <v>5.6821749885472652</v>
      </c>
      <c r="Z83" s="55">
        <v>5.2091637377495843</v>
      </c>
      <c r="AA83" s="55">
        <v>5.3283873975460434</v>
      </c>
      <c r="AB83" s="55">
        <v>5.1800330020929586</v>
      </c>
      <c r="AC83" s="55">
        <v>5.3844194885225782</v>
      </c>
      <c r="AD83" s="55">
        <v>5.6818585548720568</v>
      </c>
      <c r="AE83" s="55">
        <v>5.4611578764500219</v>
      </c>
      <c r="AF83" s="55">
        <v>5.1694261213651931</v>
      </c>
      <c r="AG83" s="55">
        <v>5.3541598966694908</v>
      </c>
      <c r="AH83" s="55">
        <v>5.7446223513059405</v>
      </c>
      <c r="AI83" s="55">
        <v>5.832793459912252</v>
      </c>
      <c r="AJ83" s="55">
        <f t="shared" ca="1" si="29"/>
        <v>5.4571088068212168</v>
      </c>
      <c r="AK83" s="55">
        <f t="shared" ca="1" si="41"/>
        <v>1.0036365124151093E-3</v>
      </c>
      <c r="AL83" s="55">
        <f t="shared" ca="1" si="42"/>
        <v>6.9292323002887778E-3</v>
      </c>
      <c r="AM83" s="55">
        <f t="shared" ca="1" si="42"/>
        <v>2.3920144234203761E-2</v>
      </c>
      <c r="AN83" s="55">
        <f t="shared" ca="1" si="42"/>
        <v>5.5049224828871368E-2</v>
      </c>
      <c r="AO83" s="55">
        <f t="shared" ca="1" si="42"/>
        <v>9.5016687334384578E-2</v>
      </c>
      <c r="AP83" s="55">
        <f t="shared" ca="1" si="42"/>
        <v>0.13120142418085762</v>
      </c>
      <c r="AQ83" s="55">
        <f t="shared" ca="1" si="52"/>
        <v>0.17204401824988086</v>
      </c>
      <c r="AR83" s="55">
        <f t="shared" ca="1" si="52"/>
        <v>0.15763293745841311</v>
      </c>
      <c r="AS83" s="55">
        <f t="shared" ca="1" si="52"/>
        <v>0.11554318818886426</v>
      </c>
      <c r="AT83" s="55">
        <f t="shared" ca="1" si="52"/>
        <v>6.3518902927740165E-2</v>
      </c>
      <c r="AU83" s="55">
        <f t="shared" ca="1" si="52"/>
        <v>2.3279324336851596E-2</v>
      </c>
      <c r="AV83" s="55">
        <f t="shared" ca="1" si="52"/>
        <v>4.265871391047428E-3</v>
      </c>
      <c r="AW83" s="55">
        <f t="shared" ca="1" si="31"/>
        <v>0.13120142418085762</v>
      </c>
      <c r="AX83" s="55">
        <f t="shared" ca="1" si="32"/>
        <v>0.17204401824988086</v>
      </c>
      <c r="AY83" s="54">
        <f t="shared" ca="1" si="43"/>
        <v>5</v>
      </c>
      <c r="AZ83" s="54">
        <f t="shared" ca="1" si="44"/>
        <v>5</v>
      </c>
      <c r="BA83" s="54" t="str">
        <f t="shared" si="45"/>
        <v>HyderabadATK-MB</v>
      </c>
      <c r="BB83" s="54">
        <f t="shared" ca="1" si="53"/>
        <v>1</v>
      </c>
      <c r="BC83" s="54">
        <f t="shared" ca="1" si="54"/>
        <v>1</v>
      </c>
      <c r="BD83" s="54">
        <f t="shared" ca="1" si="55"/>
        <v>0</v>
      </c>
      <c r="BE83" s="54" t="str">
        <f t="shared" ca="1" si="46"/>
        <v>HD</v>
      </c>
      <c r="BF83" s="55" t="str">
        <f t="shared" ca="1" si="47"/>
        <v>AD</v>
      </c>
      <c r="BG83" s="86">
        <f t="shared" ca="1" si="48"/>
        <v>7.3121428456942611E-2</v>
      </c>
      <c r="BH83" s="86">
        <f t="shared" ca="1" si="49"/>
        <v>4.5595713242360919E-2</v>
      </c>
      <c r="BI83" s="87">
        <f t="shared" ca="1" si="56"/>
        <v>0.88128285830069641</v>
      </c>
    </row>
    <row r="84" spans="1:61" x14ac:dyDescent="0.2">
      <c r="A84" s="52">
        <f>'ISL 8'!B85</f>
        <v>44598</v>
      </c>
      <c r="B84" s="54">
        <f>'ISL 8'!C85</f>
        <v>82</v>
      </c>
      <c r="C84" s="54" t="str">
        <f>'ISL 8'!D85</f>
        <v>Chennaiyin</v>
      </c>
      <c r="D84" s="54">
        <f ca="1">IF('ISL 8'!E85&lt;&gt;"",'ISL 8'!E85,INDEX($AK$2:$AP$2,,MATCH($AW84,AK84:AP84,0)))</f>
        <v>5</v>
      </c>
      <c r="E84" s="54" t="str">
        <f>'ISL 8'!G85</f>
        <v>Goa</v>
      </c>
      <c r="F84" s="54">
        <f ca="1">IF('ISL 8'!F85&lt;&gt;"",'ISL 8'!F85,INDEX($AQ$2:$AV$2,,MATCH($AX84,AQ84:AV84,0)))</f>
        <v>5</v>
      </c>
      <c r="G84" s="55">
        <f>VLOOKUP($C84,'ISL Total'!$D$5:$AH$15,25,0)</f>
        <v>1.6923160070404248</v>
      </c>
      <c r="H84" s="55">
        <f>VLOOKUP($C84,'ISL Total'!$D$5:$AH$15,28,0)</f>
        <v>2.1914366960571012</v>
      </c>
      <c r="I84" s="55">
        <f>VLOOKUP($E84,'ISL Total'!$D$5:$AH$15,26,0)</f>
        <v>2.0171275621206917</v>
      </c>
      <c r="J84" s="55">
        <f>VLOOKUP(E84,'ISL Total'!$D$5:$AH$15,29,0)</f>
        <v>2.2576929605011884</v>
      </c>
      <c r="K84" s="55">
        <f t="shared" si="26"/>
        <v>5.4705558277370008</v>
      </c>
      <c r="L84" s="55">
        <f t="shared" si="27"/>
        <v>5.9214961878851176</v>
      </c>
      <c r="M84" s="55">
        <f t="shared" ca="1" si="50"/>
        <v>5.5308036689119007</v>
      </c>
      <c r="N84" s="55">
        <v>6.0708889993047848</v>
      </c>
      <c r="O84" s="55">
        <v>5.353273405623943</v>
      </c>
      <c r="P84" s="55">
        <v>5.6695100529665181</v>
      </c>
      <c r="Q84" s="55">
        <v>5.7192911881319421</v>
      </c>
      <c r="R84" s="55">
        <v>4.7939360101572701</v>
      </c>
      <c r="S84" s="55">
        <v>4.9638233367420597</v>
      </c>
      <c r="T84" s="55">
        <v>5.4985379170245148</v>
      </c>
      <c r="U84" s="55">
        <v>5.4385103904168668</v>
      </c>
      <c r="V84" s="55">
        <v>5.4815115193136119</v>
      </c>
      <c r="W84" s="55">
        <v>5.4690063368679516</v>
      </c>
      <c r="X84" s="55">
        <f t="shared" ca="1" si="28"/>
        <v>5.4535538932237602</v>
      </c>
      <c r="Y84" s="55">
        <f t="shared" ca="1" si="51"/>
        <v>5.3941428127026505</v>
      </c>
      <c r="Z84" s="55">
        <v>5.9530074449279908</v>
      </c>
      <c r="AA84" s="55">
        <v>5.784977005981685</v>
      </c>
      <c r="AB84" s="55">
        <v>6.0212919753002199</v>
      </c>
      <c r="AC84" s="55">
        <v>5.9600450611564879</v>
      </c>
      <c r="AD84" s="55">
        <v>5.8232665946740338</v>
      </c>
      <c r="AE84" s="55">
        <v>5.8989097126280843</v>
      </c>
      <c r="AF84" s="55">
        <v>5.9834936962539773</v>
      </c>
      <c r="AG84" s="55">
        <v>6.1679683042095128</v>
      </c>
      <c r="AH84" s="55">
        <v>6.1376527992436847</v>
      </c>
      <c r="AI84" s="55">
        <v>5.6269179744903672</v>
      </c>
      <c r="AJ84" s="55">
        <f t="shared" ca="1" si="29"/>
        <v>5.8865157619607906</v>
      </c>
      <c r="AK84" s="55">
        <f t="shared" ca="1" si="41"/>
        <v>4.2810631820138639E-3</v>
      </c>
      <c r="AL84" s="55">
        <f t="shared" ref="AL84:AP99" ca="1" si="57">_xlfn.POISSON.DIST(AL$2,$X84,0)</f>
        <v>2.3347008783408608E-2</v>
      </c>
      <c r="AM84" s="55">
        <f t="shared" ca="1" si="57"/>
        <v>6.3662085322943665E-2</v>
      </c>
      <c r="AN84" s="55">
        <f t="shared" ca="1" si="57"/>
        <v>0.11572820442122754</v>
      </c>
      <c r="AO84" s="55">
        <f t="shared" ca="1" si="57"/>
        <v>0.15778249994429516</v>
      </c>
      <c r="AP84" s="55">
        <f t="shared" ca="1" si="57"/>
        <v>0.17209507337075772</v>
      </c>
      <c r="AQ84" s="55">
        <f t="shared" ca="1" si="52"/>
        <v>0.16354188421997068</v>
      </c>
      <c r="AR84" s="55">
        <f t="shared" ca="1" si="52"/>
        <v>0.13891229619802728</v>
      </c>
      <c r="AS84" s="55">
        <f t="shared" ca="1" si="52"/>
        <v>9.4393561023443678E-2</v>
      </c>
      <c r="AT84" s="55">
        <f t="shared" ca="1" si="52"/>
        <v>4.8106672014754596E-2</v>
      </c>
      <c r="AU84" s="55">
        <f t="shared" ca="1" si="52"/>
        <v>1.6344701674163305E-2</v>
      </c>
      <c r="AV84" s="55">
        <f t="shared" ca="1" si="52"/>
        <v>2.7766343173298335E-3</v>
      </c>
      <c r="AW84" s="55">
        <f t="shared" ca="1" si="31"/>
        <v>0.17209507337075772</v>
      </c>
      <c r="AX84" s="55">
        <f t="shared" ca="1" si="32"/>
        <v>0.16354188421997068</v>
      </c>
      <c r="AY84" s="54">
        <f t="shared" ca="1" si="43"/>
        <v>5</v>
      </c>
      <c r="AZ84" s="54">
        <f t="shared" ca="1" si="44"/>
        <v>5</v>
      </c>
      <c r="BA84" s="54" t="str">
        <f t="shared" si="45"/>
        <v>ChennaiyinGoa</v>
      </c>
      <c r="BB84" s="54">
        <f t="shared" ca="1" si="53"/>
        <v>1</v>
      </c>
      <c r="BC84" s="54">
        <f t="shared" ca="1" si="54"/>
        <v>1</v>
      </c>
      <c r="BD84" s="54">
        <f t="shared" ca="1" si="55"/>
        <v>0</v>
      </c>
      <c r="BE84" s="54" t="str">
        <f t="shared" ca="1" si="46"/>
        <v>HD</v>
      </c>
      <c r="BF84" s="55" t="str">
        <f t="shared" ca="1" si="47"/>
        <v>AD</v>
      </c>
      <c r="BG84" s="86">
        <f t="shared" ca="1" si="48"/>
        <v>8.6283759675738925E-2</v>
      </c>
      <c r="BH84" s="86">
        <f t="shared" ca="1" si="49"/>
        <v>6.4442737156224575E-2</v>
      </c>
      <c r="BI84" s="87">
        <f t="shared" ca="1" si="56"/>
        <v>0.84927350316803651</v>
      </c>
    </row>
    <row r="85" spans="1:61" x14ac:dyDescent="0.2">
      <c r="A85" s="52">
        <f>'ISL 8'!B86</f>
        <v>44599</v>
      </c>
      <c r="B85" s="54">
        <f>'ISL 8'!C86</f>
        <v>83</v>
      </c>
      <c r="C85" s="54" t="str">
        <f>'ISL 8'!D86</f>
        <v>Jamshedpur</v>
      </c>
      <c r="D85" s="54">
        <f ca="1">IF('ISL 8'!E86&lt;&gt;"",'ISL 8'!E86,INDEX($AK$2:$AP$2,,MATCH($AW85,AK85:AP85,0)))</f>
        <v>4</v>
      </c>
      <c r="E85" s="54" t="str">
        <f>'ISL 8'!G86</f>
        <v>Kerala Blasters</v>
      </c>
      <c r="F85" s="54">
        <f ca="1">IF('ISL 8'!F86&lt;&gt;"",'ISL 8'!F86,INDEX($AQ$2:$AV$2,,MATCH($AX85,AQ85:AV85,0)))</f>
        <v>4</v>
      </c>
      <c r="G85" s="55">
        <f>VLOOKUP($C85,'ISL Total'!$D$5:$AH$15,25,0)</f>
        <v>1.6665097487371039</v>
      </c>
      <c r="H85" s="55">
        <f>VLOOKUP($C85,'ISL Total'!$D$5:$AH$15,28,0)</f>
        <v>1.5979083171113402</v>
      </c>
      <c r="I85" s="55">
        <f>VLOOKUP($E85,'ISL Total'!$D$5:$AH$15,26,0)</f>
        <v>2.1526909424023817</v>
      </c>
      <c r="J85" s="55">
        <f>VLOOKUP(E85,'ISL Total'!$D$5:$AH$15,29,0)</f>
        <v>1.99017477973497</v>
      </c>
      <c r="K85" s="55">
        <f t="shared" si="26"/>
        <v>4.7488033998449097</v>
      </c>
      <c r="L85" s="55">
        <f t="shared" si="27"/>
        <v>4.6078963490255944</v>
      </c>
      <c r="M85" s="55">
        <f t="shared" ca="1" si="50"/>
        <v>4.7888352883797323</v>
      </c>
      <c r="N85" s="55">
        <v>4.8362804649180218</v>
      </c>
      <c r="O85" s="55">
        <v>4.7145371449454343</v>
      </c>
      <c r="P85" s="55">
        <v>4.9178735685718884</v>
      </c>
      <c r="Q85" s="55">
        <v>5.0009674461784339</v>
      </c>
      <c r="R85" s="55">
        <v>5.0781575253969145</v>
      </c>
      <c r="S85" s="55">
        <v>4.975597541228475</v>
      </c>
      <c r="T85" s="55">
        <v>4.2076071633382943</v>
      </c>
      <c r="U85" s="55">
        <v>4.9481970857665312</v>
      </c>
      <c r="V85" s="55">
        <v>4.4975561550902228</v>
      </c>
      <c r="W85" s="55">
        <v>5.3817436555625484</v>
      </c>
      <c r="X85" s="55">
        <f t="shared" ca="1" si="28"/>
        <v>4.8497593672160457</v>
      </c>
      <c r="Y85" s="55">
        <f t="shared" ca="1" si="51"/>
        <v>4.6509138068874769</v>
      </c>
      <c r="Z85" s="55">
        <v>4.7827194480196873</v>
      </c>
      <c r="AA85" s="55">
        <v>4.5881965724179965</v>
      </c>
      <c r="AB85" s="55">
        <v>4.4318544051088766</v>
      </c>
      <c r="AC85" s="55">
        <v>4.9337139551133466</v>
      </c>
      <c r="AD85" s="55">
        <v>4.6931511662057632</v>
      </c>
      <c r="AE85" s="55">
        <v>4.4383336833107485</v>
      </c>
      <c r="AF85" s="55">
        <v>4.5689638387372158</v>
      </c>
      <c r="AG85" s="55">
        <v>4.975458100160326</v>
      </c>
      <c r="AH85" s="55">
        <v>4.2423328643380911</v>
      </c>
      <c r="AI85" s="55">
        <v>4.4182613565327893</v>
      </c>
      <c r="AJ85" s="55">
        <f t="shared" ca="1" si="29"/>
        <v>4.611263563348392</v>
      </c>
      <c r="AK85" s="55">
        <f t="shared" ca="1" si="41"/>
        <v>7.8302615401751891E-3</v>
      </c>
      <c r="AL85" s="55">
        <f t="shared" ca="1" si="57"/>
        <v>3.7974884252216165E-2</v>
      </c>
      <c r="AM85" s="55">
        <f t="shared" ca="1" si="57"/>
        <v>9.2084525310565241E-2</v>
      </c>
      <c r="AN85" s="55">
        <f t="shared" ca="1" si="57"/>
        <v>0.14886259640018559</v>
      </c>
      <c r="AO85" s="55">
        <f t="shared" ca="1" si="57"/>
        <v>0.18048694282997543</v>
      </c>
      <c r="AP85" s="55">
        <f t="shared" ca="1" si="57"/>
        <v>0.17506364832997204</v>
      </c>
      <c r="AQ85" s="55">
        <f t="shared" ca="1" si="52"/>
        <v>0.17269197725647259</v>
      </c>
      <c r="AR85" s="55">
        <f t="shared" ca="1" si="52"/>
        <v>0.18725017002831562</v>
      </c>
      <c r="AS85" s="55">
        <f t="shared" ca="1" si="52"/>
        <v>0.16242851223394139</v>
      </c>
      <c r="AT85" s="55">
        <f t="shared" ca="1" si="52"/>
        <v>0.1056728877036883</v>
      </c>
      <c r="AU85" s="55">
        <f t="shared" ca="1" si="52"/>
        <v>4.5832508271097694E-2</v>
      </c>
      <c r="AV85" s="55">
        <f t="shared" ca="1" si="52"/>
        <v>9.9392514961381163E-3</v>
      </c>
      <c r="AW85" s="55">
        <f t="shared" ca="1" si="31"/>
        <v>0.18048694282997543</v>
      </c>
      <c r="AX85" s="55">
        <f t="shared" ca="1" si="32"/>
        <v>0.18725017002831562</v>
      </c>
      <c r="AY85" s="54">
        <f t="shared" ca="1" si="43"/>
        <v>4</v>
      </c>
      <c r="AZ85" s="54">
        <f t="shared" ca="1" si="44"/>
        <v>4</v>
      </c>
      <c r="BA85" s="54" t="str">
        <f t="shared" si="45"/>
        <v>JamshedpurKerala Blasters</v>
      </c>
      <c r="BB85" s="54">
        <f t="shared" ca="1" si="53"/>
        <v>1</v>
      </c>
      <c r="BC85" s="54">
        <f t="shared" ca="1" si="54"/>
        <v>1</v>
      </c>
      <c r="BD85" s="54">
        <f t="shared" ca="1" si="55"/>
        <v>0</v>
      </c>
      <c r="BE85" s="54" t="str">
        <f t="shared" ca="1" si="46"/>
        <v>HD</v>
      </c>
      <c r="BF85" s="55" t="str">
        <f t="shared" ca="1" si="47"/>
        <v>AD</v>
      </c>
      <c r="BG85" s="86">
        <f t="shared" ca="1" si="48"/>
        <v>0.17748021865592425</v>
      </c>
      <c r="BH85" s="86">
        <f t="shared" ca="1" si="49"/>
        <v>9.9756977206905073E-2</v>
      </c>
      <c r="BI85" s="87">
        <f t="shared" ca="1" si="56"/>
        <v>0.72276280413717064</v>
      </c>
    </row>
    <row r="86" spans="1:61" x14ac:dyDescent="0.2">
      <c r="A86" s="52">
        <f>'ISL 8'!B87</f>
        <v>44600</v>
      </c>
      <c r="B86" s="54">
        <f>'ISL 8'!C87</f>
        <v>84</v>
      </c>
      <c r="C86" s="54" t="str">
        <f>'ISL 8'!D87</f>
        <v>Bengaluru</v>
      </c>
      <c r="D86" s="54">
        <f ca="1">IF('ISL 8'!E87&lt;&gt;"",'ISL 8'!E87,INDEX($AK$2:$AP$2,,MATCH($AW86,AK86:AP86,0)))</f>
        <v>4</v>
      </c>
      <c r="E86" s="54" t="str">
        <f>'ISL 8'!G87</f>
        <v>Hyderabad</v>
      </c>
      <c r="F86" s="54">
        <f ca="1">IF('ISL 8'!F87&lt;&gt;"",'ISL 8'!F87,INDEX($AQ$2:$AV$2,,MATCH($AX86,AQ86:AV86,0)))</f>
        <v>5</v>
      </c>
      <c r="G86" s="55">
        <f>VLOOKUP($C86,'ISL Total'!$D$5:$AH$15,25,0)</f>
        <v>2.2973875558619734</v>
      </c>
      <c r="H86" s="55">
        <f>VLOOKUP($C86,'ISL Total'!$D$5:$AH$15,28,0)</f>
        <v>1.7201477155616627</v>
      </c>
      <c r="I86" s="55">
        <f>VLOOKUP($E86,'ISL Total'!$D$5:$AH$15,26,0)</f>
        <v>2.2018340394671556</v>
      </c>
      <c r="J86" s="55">
        <f>VLOOKUP(E86,'ISL Total'!$D$5:$AH$15,29,0)</f>
        <v>1.4450563501928062</v>
      </c>
      <c r="K86" s="55">
        <f t="shared" si="26"/>
        <v>4.7533977950361628</v>
      </c>
      <c r="L86" s="55">
        <f t="shared" si="27"/>
        <v>5.073638089959684</v>
      </c>
      <c r="M86" s="55">
        <f t="shared" ca="1" si="50"/>
        <v>4.4374933301965918</v>
      </c>
      <c r="N86" s="55">
        <v>4.5576732965999982</v>
      </c>
      <c r="O86" s="55">
        <v>4.7484592645350023</v>
      </c>
      <c r="P86" s="55">
        <v>4.6188499062592712</v>
      </c>
      <c r="Q86" s="55">
        <v>4.7690533309536081</v>
      </c>
      <c r="R86" s="55">
        <v>4.4821613737778501</v>
      </c>
      <c r="S86" s="55">
        <v>4.9855189993264935</v>
      </c>
      <c r="T86" s="55">
        <v>5.1895693449212041</v>
      </c>
      <c r="U86" s="55">
        <v>4.7822326407329347</v>
      </c>
      <c r="V86" s="55">
        <v>5.3255770478397277</v>
      </c>
      <c r="W86" s="55">
        <v>4.7442918426520775</v>
      </c>
      <c r="X86" s="55">
        <f t="shared" ca="1" si="28"/>
        <v>4.7855345797995232</v>
      </c>
      <c r="Y86" s="55">
        <f t="shared" ca="1" si="51"/>
        <v>5.1176991124416222</v>
      </c>
      <c r="Z86" s="55">
        <v>5.0052248318745942</v>
      </c>
      <c r="AA86" s="55">
        <v>5.2987361959905988</v>
      </c>
      <c r="AB86" s="55">
        <v>4.5957899260701449</v>
      </c>
      <c r="AC86" s="55">
        <v>4.7783411489335084</v>
      </c>
      <c r="AD86" s="55">
        <v>4.9156124692537375</v>
      </c>
      <c r="AE86" s="55">
        <v>5.3819250983759916</v>
      </c>
      <c r="AF86" s="55">
        <v>5.0185391019973951</v>
      </c>
      <c r="AG86" s="55">
        <v>5.0988550690927239</v>
      </c>
      <c r="AH86" s="55">
        <v>4.8305343729138617</v>
      </c>
      <c r="AI86" s="55">
        <v>5.5556951971747788</v>
      </c>
      <c r="AJ86" s="55">
        <f t="shared" ca="1" si="29"/>
        <v>5.054268411283541</v>
      </c>
      <c r="AK86" s="55">
        <f t="shared" ca="1" si="41"/>
        <v>8.3496589956340468E-3</v>
      </c>
      <c r="AL86" s="55">
        <f t="shared" ca="1" si="57"/>
        <v>3.9957581853140883E-2</v>
      </c>
      <c r="AM86" s="55">
        <f t="shared" ca="1" si="57"/>
        <v>9.5609194841687825E-2</v>
      </c>
      <c r="AN86" s="55">
        <f t="shared" ca="1" si="57"/>
        <v>0.15251370268722911</v>
      </c>
      <c r="AO86" s="55">
        <f t="shared" ca="1" si="57"/>
        <v>0.1824648995257496</v>
      </c>
      <c r="AP86" s="55">
        <f t="shared" ca="1" si="57"/>
        <v>0.17463841725602405</v>
      </c>
      <c r="AQ86" s="55">
        <f t="shared" ca="1" si="52"/>
        <v>0.17541607196687478</v>
      </c>
      <c r="AR86" s="55">
        <f t="shared" ca="1" si="52"/>
        <v>0.17353260421949726</v>
      </c>
      <c r="AS86" s="55">
        <f t="shared" ca="1" si="52"/>
        <v>0.13733548763028858</v>
      </c>
      <c r="AT86" s="55">
        <f t="shared" ca="1" si="52"/>
        <v>8.1516537976311379E-2</v>
      </c>
      <c r="AU86" s="55">
        <f t="shared" ca="1" si="52"/>
        <v>3.2256513245053436E-2</v>
      </c>
      <c r="AV86" s="55">
        <f t="shared" ca="1" si="52"/>
        <v>6.3820340789661062E-3</v>
      </c>
      <c r="AW86" s="55">
        <f t="shared" ca="1" si="31"/>
        <v>0.1824648995257496</v>
      </c>
      <c r="AX86" s="55">
        <f t="shared" ca="1" si="32"/>
        <v>0.17541607196687478</v>
      </c>
      <c r="AY86" s="54">
        <f t="shared" ca="1" si="43"/>
        <v>4</v>
      </c>
      <c r="AZ86" s="54">
        <f t="shared" ca="1" si="44"/>
        <v>5</v>
      </c>
      <c r="BA86" s="54" t="str">
        <f t="shared" si="45"/>
        <v>BengaluruHyderabad</v>
      </c>
      <c r="BB86" s="54">
        <f t="shared" ca="1" si="53"/>
        <v>0</v>
      </c>
      <c r="BC86" s="54">
        <f t="shared" ca="1" si="54"/>
        <v>3</v>
      </c>
      <c r="BD86" s="54">
        <f t="shared" ca="1" si="55"/>
        <v>1</v>
      </c>
      <c r="BE86" s="54" t="str">
        <f t="shared" ca="1" si="46"/>
        <v>HL</v>
      </c>
      <c r="BF86" s="55" t="str">
        <f t="shared" ca="1" si="47"/>
        <v>AW</v>
      </c>
      <c r="BG86" s="86">
        <f t="shared" ca="1" si="48"/>
        <v>0.14453070498122755</v>
      </c>
      <c r="BH86" s="86">
        <f t="shared" ca="1" si="49"/>
        <v>9.2379448730508545E-2</v>
      </c>
      <c r="BI86" s="87">
        <f t="shared" ca="1" si="56"/>
        <v>0.76308984628826393</v>
      </c>
    </row>
    <row r="87" spans="1:61" x14ac:dyDescent="0.2">
      <c r="A87" s="52">
        <f>'ISL 8'!B88</f>
        <v>44601</v>
      </c>
      <c r="B87" s="54">
        <f>'ISL 8'!C88</f>
        <v>85</v>
      </c>
      <c r="C87" s="54" t="str">
        <f>'ISL 8'!D88</f>
        <v>ATK-MB</v>
      </c>
      <c r="D87" s="54">
        <f ca="1">IF('ISL 8'!E88&lt;&gt;"",'ISL 8'!E88,INDEX($AK$2:$AP$2,,MATCH($AW87,AK87:AP87,0)))</f>
        <v>5</v>
      </c>
      <c r="E87" s="54" t="str">
        <f>'ISL 8'!G88</f>
        <v>NorthEast United</v>
      </c>
      <c r="F87" s="54">
        <f ca="1">IF('ISL 8'!F88&lt;&gt;"",'ISL 8'!F88,INDEX($AQ$2:$AV$2,,MATCH($AX87,AQ87:AV87,0)))</f>
        <v>4</v>
      </c>
      <c r="G87" s="55">
        <f>VLOOKUP($C87,'ISL Total'!$D$5:$AH$15,25,0)</f>
        <v>2.0695986245708529</v>
      </c>
      <c r="H87" s="55">
        <f>VLOOKUP($C87,'ISL Total'!$D$5:$AH$15,28,0)</f>
        <v>1.8323600137409826</v>
      </c>
      <c r="I87" s="55">
        <f>VLOOKUP($E87,'ISL Total'!$D$5:$AH$15,26,0)</f>
        <v>1.8614679949616395</v>
      </c>
      <c r="J87" s="55">
        <f>VLOOKUP(E87,'ISL Total'!$D$5:$AH$15,29,0)</f>
        <v>2.7778362426875027</v>
      </c>
      <c r="K87" s="55">
        <f t="shared" si="26"/>
        <v>8.2314791076141312</v>
      </c>
      <c r="L87" s="55">
        <f t="shared" si="27"/>
        <v>4.5691513097839893</v>
      </c>
      <c r="M87" s="55">
        <f t="shared" ca="1" si="50"/>
        <v>8.1718417897638602</v>
      </c>
      <c r="N87" s="55">
        <v>8.4683495842018548</v>
      </c>
      <c r="O87" s="55">
        <v>8.3328294144201429</v>
      </c>
      <c r="P87" s="55">
        <v>9.0620828577115944</v>
      </c>
      <c r="Q87" s="55">
        <v>8.0980465634083991</v>
      </c>
      <c r="R87" s="55">
        <v>7.9588723672259194</v>
      </c>
      <c r="S87" s="55">
        <v>7.9839700890856014</v>
      </c>
      <c r="T87" s="55">
        <v>8.3858808778752518</v>
      </c>
      <c r="U87" s="55">
        <v>8.2392550912543427</v>
      </c>
      <c r="V87" s="55">
        <v>8.3518971625795722</v>
      </c>
      <c r="W87" s="55">
        <v>7.9124907182734772</v>
      </c>
      <c r="X87" s="55">
        <f t="shared" ca="1" si="28"/>
        <v>8.2695924105272738</v>
      </c>
      <c r="Y87" s="55">
        <f t="shared" ca="1" si="51"/>
        <v>4.1666902218325959</v>
      </c>
      <c r="Z87" s="55">
        <v>4.8071163263008971</v>
      </c>
      <c r="AA87" s="55">
        <v>4.5319674732369517</v>
      </c>
      <c r="AB87" s="55">
        <v>4.6068803434225858</v>
      </c>
      <c r="AC87" s="55">
        <v>4.425207380030721</v>
      </c>
      <c r="AD87" s="55">
        <v>4.746731895843519</v>
      </c>
      <c r="AE87" s="55">
        <v>4.5886292932384016</v>
      </c>
      <c r="AF87" s="55">
        <v>4.8306991526278535</v>
      </c>
      <c r="AG87" s="55">
        <v>4.2077657331564096</v>
      </c>
      <c r="AH87" s="55">
        <v>5.069646203569464</v>
      </c>
      <c r="AI87" s="55">
        <v>4.3590484662434106</v>
      </c>
      <c r="AJ87" s="55">
        <f t="shared" ca="1" si="29"/>
        <v>4.576398408136618</v>
      </c>
      <c r="AK87" s="55">
        <f t="shared" ca="1" si="41"/>
        <v>2.561896902004777E-4</v>
      </c>
      <c r="AL87" s="55">
        <f t="shared" ca="1" si="57"/>
        <v>2.1185843177372035E-3</v>
      </c>
      <c r="AM87" s="55">
        <f t="shared" ca="1" si="57"/>
        <v>8.7599143975108425E-3</v>
      </c>
      <c r="AN87" s="55">
        <f t="shared" ca="1" si="57"/>
        <v>2.4146973872841426E-2</v>
      </c>
      <c r="AO87" s="55">
        <f t="shared" ca="1" si="57"/>
        <v>4.9921407969012441E-2</v>
      </c>
      <c r="AP87" s="55">
        <f t="shared" ca="1" si="57"/>
        <v>8.2565939292676249E-2</v>
      </c>
      <c r="AQ87" s="55">
        <f t="shared" ca="1" si="52"/>
        <v>0.17216041767854132</v>
      </c>
      <c r="AR87" s="55">
        <f t="shared" ca="1" si="52"/>
        <v>0.18809596796953726</v>
      </c>
      <c r="AS87" s="55">
        <f t="shared" ca="1" si="52"/>
        <v>0.16440523852565947</v>
      </c>
      <c r="AT87" s="55">
        <f t="shared" ca="1" si="52"/>
        <v>0.10777377133513209</v>
      </c>
      <c r="AU87" s="55">
        <f t="shared" ca="1" si="52"/>
        <v>4.7099820305642734E-2</v>
      </c>
      <c r="AV87" s="55">
        <f t="shared" ca="1" si="52"/>
        <v>1.0291896837893638E-2</v>
      </c>
      <c r="AW87" s="55">
        <f t="shared" ca="1" si="31"/>
        <v>8.2565939292676249E-2</v>
      </c>
      <c r="AX87" s="55">
        <f t="shared" ca="1" si="32"/>
        <v>0.18809596796953726</v>
      </c>
      <c r="AY87" s="54">
        <f t="shared" ca="1" si="43"/>
        <v>5</v>
      </c>
      <c r="AZ87" s="54">
        <f t="shared" ca="1" si="44"/>
        <v>4</v>
      </c>
      <c r="BA87" s="54" t="str">
        <f t="shared" si="45"/>
        <v>ATK-MBNorthEast United</v>
      </c>
      <c r="BB87" s="54">
        <f t="shared" ca="1" si="53"/>
        <v>3</v>
      </c>
      <c r="BC87" s="54">
        <f t="shared" ca="1" si="54"/>
        <v>0</v>
      </c>
      <c r="BD87" s="54">
        <f t="shared" ca="1" si="55"/>
        <v>1</v>
      </c>
      <c r="BE87" s="54" t="str">
        <f t="shared" ca="1" si="46"/>
        <v>HW</v>
      </c>
      <c r="BF87" s="55" t="str">
        <f t="shared" ca="1" si="47"/>
        <v>AL</v>
      </c>
      <c r="BG87" s="86">
        <f t="shared" ca="1" si="48"/>
        <v>6.3707069144013154E-2</v>
      </c>
      <c r="BH87" s="86">
        <f t="shared" ca="1" si="49"/>
        <v>2.8621001777942072E-2</v>
      </c>
      <c r="BI87" s="87">
        <f t="shared" ca="1" si="56"/>
        <v>0.90767192907804484</v>
      </c>
    </row>
    <row r="88" spans="1:61" x14ac:dyDescent="0.2">
      <c r="A88" s="52">
        <f>'ISL 8'!B89</f>
        <v>44602</v>
      </c>
      <c r="B88" s="54">
        <f>'ISL 8'!C89</f>
        <v>86</v>
      </c>
      <c r="C88" s="54" t="str">
        <f>'ISL 8'!D89</f>
        <v>Mumbai City</v>
      </c>
      <c r="D88" s="54">
        <f ca="1">IF('ISL 8'!E89&lt;&gt;"",'ISL 8'!E89,INDEX($AK$2:$AP$2,,MATCH($AW88,AK88:AP88,0)))</f>
        <v>3</v>
      </c>
      <c r="E88" s="54" t="str">
        <f>'ISL 8'!G89</f>
        <v>Odisha</v>
      </c>
      <c r="F88" s="54">
        <f ca="1">IF('ISL 8'!F89&lt;&gt;"",'ISL 8'!F89,INDEX($AQ$2:$AV$2,,MATCH($AX88,AQ88:AV88,0)))</f>
        <v>2</v>
      </c>
      <c r="G88" s="55">
        <f>VLOOKUP($C88,'ISL Total'!$D$5:$AH$15,25,0)</f>
        <v>1.711666848062984</v>
      </c>
      <c r="H88" s="55">
        <f>VLOOKUP($C88,'ISL Total'!$D$5:$AH$15,28,0)</f>
        <v>2.0663350700408412</v>
      </c>
      <c r="I88" s="55">
        <f>VLOOKUP($E88,'ISL Total'!$D$5:$AH$15,26,0)</f>
        <v>0.79788732394366213</v>
      </c>
      <c r="J88" s="55">
        <f>VLOOKUP(E88,'ISL Total'!$D$5:$AH$15,29,0)</f>
        <v>1.3928240740740743</v>
      </c>
      <c r="K88" s="55">
        <f t="shared" si="26"/>
        <v>3.4135055804460306</v>
      </c>
      <c r="L88" s="55">
        <f t="shared" si="27"/>
        <v>2.2085715466515174</v>
      </c>
      <c r="M88" s="55">
        <f t="shared" ca="1" si="50"/>
        <v>4.1737351865545431</v>
      </c>
      <c r="N88" s="55">
        <v>3.650137017126482</v>
      </c>
      <c r="O88" s="55">
        <v>3.3155218240718565</v>
      </c>
      <c r="P88" s="55">
        <v>3.2707971992404206</v>
      </c>
      <c r="Q88" s="55">
        <v>3.3136314196971606</v>
      </c>
      <c r="R88" s="55">
        <v>4.1370505526032675</v>
      </c>
      <c r="S88" s="55">
        <v>3.7141892648460497</v>
      </c>
      <c r="T88" s="55">
        <v>3.2365589771331655</v>
      </c>
      <c r="U88" s="55">
        <v>3.2831314360858079</v>
      </c>
      <c r="V88" s="55">
        <v>3.6496002317976388</v>
      </c>
      <c r="W88" s="55">
        <v>3.3630220831549695</v>
      </c>
      <c r="X88" s="55">
        <f t="shared" ca="1" si="28"/>
        <v>3.55521592657376</v>
      </c>
      <c r="Y88" s="55">
        <f t="shared" ca="1" si="51"/>
        <v>2.15688828168823</v>
      </c>
      <c r="Z88" s="55">
        <v>2.0414743426002548</v>
      </c>
      <c r="AA88" s="55">
        <v>1.9003627182002241</v>
      </c>
      <c r="AB88" s="55">
        <v>2.2391725895568064</v>
      </c>
      <c r="AC88" s="55">
        <v>2.3174469176579224</v>
      </c>
      <c r="AD88" s="55">
        <v>2.5693311083193686</v>
      </c>
      <c r="AE88" s="55">
        <v>2.2426660610257758</v>
      </c>
      <c r="AF88" s="55">
        <v>2.2174270624268657</v>
      </c>
      <c r="AG88" s="55">
        <v>1.9161167475355498</v>
      </c>
      <c r="AH88" s="55">
        <v>2.5030279701477949</v>
      </c>
      <c r="AI88" s="55">
        <v>2.25919179618792</v>
      </c>
      <c r="AJ88" s="55">
        <f t="shared" ca="1" si="29"/>
        <v>2.2148277813951558</v>
      </c>
      <c r="AK88" s="55">
        <f t="shared" ca="1" si="41"/>
        <v>2.857520410416732E-2</v>
      </c>
      <c r="AL88" s="55">
        <f t="shared" ca="1" si="57"/>
        <v>0.10159102073623152</v>
      </c>
      <c r="AM88" s="55">
        <f t="shared" ca="1" si="57"/>
        <v>0.18058900745916778</v>
      </c>
      <c r="AN88" s="55">
        <f t="shared" ca="1" si="57"/>
        <v>0.21401097182766024</v>
      </c>
      <c r="AO88" s="55">
        <f t="shared" ca="1" si="57"/>
        <v>0.1902138038758065</v>
      </c>
      <c r="AP88" s="55">
        <f t="shared" ca="1" si="57"/>
        <v>0.13525022899868896</v>
      </c>
      <c r="AQ88" s="55">
        <f t="shared" ca="1" si="52"/>
        <v>4.8487643964198607E-2</v>
      </c>
      <c r="AR88" s="55">
        <f t="shared" ca="1" si="52"/>
        <v>0.10946143165509577</v>
      </c>
      <c r="AS88" s="55">
        <f t="shared" ca="1" si="52"/>
        <v>0.19768838475765227</v>
      </c>
      <c r="AT88" s="55">
        <f t="shared" ca="1" si="52"/>
        <v>0.26777032474252943</v>
      </c>
      <c r="AU88" s="55">
        <f t="shared" ca="1" si="52"/>
        <v>0.24179787430141092</v>
      </c>
      <c r="AV88" s="55">
        <f t="shared" ca="1" si="52"/>
        <v>0.10917231413320025</v>
      </c>
      <c r="AW88" s="55">
        <f t="shared" ca="1" si="31"/>
        <v>0.21401097182766024</v>
      </c>
      <c r="AX88" s="55">
        <f t="shared" ca="1" si="32"/>
        <v>0.26777032474252943</v>
      </c>
      <c r="AY88" s="54">
        <f t="shared" ca="1" si="43"/>
        <v>3</v>
      </c>
      <c r="AZ88" s="54">
        <f t="shared" ca="1" si="44"/>
        <v>2</v>
      </c>
      <c r="BA88" s="54" t="str">
        <f t="shared" si="45"/>
        <v>Mumbai CityOdisha</v>
      </c>
      <c r="BB88" s="54">
        <f t="shared" ca="1" si="53"/>
        <v>3</v>
      </c>
      <c r="BC88" s="54">
        <f t="shared" ca="1" si="54"/>
        <v>0</v>
      </c>
      <c r="BD88" s="54">
        <f t="shared" ca="1" si="55"/>
        <v>1</v>
      </c>
      <c r="BE88" s="54" t="str">
        <f t="shared" ca="1" si="46"/>
        <v>HW</v>
      </c>
      <c r="BF88" s="55" t="str">
        <f t="shared" ca="1" si="47"/>
        <v>AL</v>
      </c>
      <c r="BG88" s="86">
        <f t="shared" ca="1" si="48"/>
        <v>0.48741246871529043</v>
      </c>
      <c r="BH88" s="86">
        <f t="shared" ca="1" si="49"/>
        <v>0.14572701477688196</v>
      </c>
      <c r="BI88" s="87">
        <f t="shared" ca="1" si="56"/>
        <v>0.36686051650782758</v>
      </c>
    </row>
    <row r="89" spans="1:61" x14ac:dyDescent="0.2">
      <c r="A89" s="52">
        <f>'ISL 8'!B90</f>
        <v>44603</v>
      </c>
      <c r="B89" s="54">
        <f>'ISL 8'!C90</f>
        <v>87</v>
      </c>
      <c r="C89" s="54" t="str">
        <f>'ISL 8'!D90</f>
        <v>Kerala Blasters</v>
      </c>
      <c r="D89" s="54">
        <f ca="1">IF('ISL 8'!E90&lt;&gt;"",'ISL 8'!E90,INDEX($AK$2:$AP$2,,MATCH($AW89,AK89:AP89,0)))</f>
        <v>5</v>
      </c>
      <c r="E89" s="54" t="str">
        <f>'ISL 8'!G90</f>
        <v>East Bengal</v>
      </c>
      <c r="F89" s="54">
        <f ca="1">IF('ISL 8'!F90&lt;&gt;"",'ISL 8'!F90,INDEX($AQ$2:$AV$2,,MATCH($AX89,AQ89:AV89,0)))</f>
        <v>4</v>
      </c>
      <c r="G89" s="55">
        <f>VLOOKUP($C89,'ISL Total'!$D$5:$AH$15,25,0)</f>
        <v>1.7408543887928634</v>
      </c>
      <c r="H89" s="55">
        <f>VLOOKUP($C89,'ISL Total'!$D$5:$AH$15,28,0)</f>
        <v>1.6729569830909576</v>
      </c>
      <c r="I89" s="55">
        <f>VLOOKUP($E89,'ISL Total'!$D$5:$AH$15,26,0)</f>
        <v>2.2664839306843771</v>
      </c>
      <c r="J89" s="55">
        <f>VLOOKUP(E89,'ISL Total'!$D$5:$AH$15,29,0)</f>
        <v>2.3205343227457229</v>
      </c>
      <c r="K89" s="55">
        <f t="shared" si="26"/>
        <v>5.7840968516134437</v>
      </c>
      <c r="L89" s="55">
        <f t="shared" si="27"/>
        <v>5.0793317481148632</v>
      </c>
      <c r="M89" s="55">
        <f t="shared" ca="1" si="50"/>
        <v>6.1075956929469513</v>
      </c>
      <c r="N89" s="55">
        <v>5.7581278811810392</v>
      </c>
      <c r="O89" s="55">
        <v>5.84884764737164</v>
      </c>
      <c r="P89" s="55">
        <v>5.3865679969127882</v>
      </c>
      <c r="Q89" s="55">
        <v>6.0794371278636925</v>
      </c>
      <c r="R89" s="55">
        <v>6.1420692737219742</v>
      </c>
      <c r="S89" s="55">
        <v>5.7038126889511567</v>
      </c>
      <c r="T89" s="55">
        <v>5.4632669865370467</v>
      </c>
      <c r="U89" s="55">
        <v>6.2174243794079356</v>
      </c>
      <c r="V89" s="55">
        <v>5.4677297753322511</v>
      </c>
      <c r="W89" s="55">
        <v>6.3168904455924038</v>
      </c>
      <c r="X89" s="55">
        <f t="shared" ca="1" si="28"/>
        <v>5.862888172347172</v>
      </c>
      <c r="Y89" s="55">
        <f t="shared" ca="1" si="51"/>
        <v>4.7126581554684988</v>
      </c>
      <c r="Z89" s="55">
        <v>4.8961887643656192</v>
      </c>
      <c r="AA89" s="55">
        <v>4.9728534831343261</v>
      </c>
      <c r="AB89" s="55">
        <v>5.1272839964416113</v>
      </c>
      <c r="AC89" s="55">
        <v>5.2507435033579366</v>
      </c>
      <c r="AD89" s="55">
        <v>5.0733733258533533</v>
      </c>
      <c r="AE89" s="55">
        <v>4.7471615215390086</v>
      </c>
      <c r="AF89" s="55">
        <v>4.7145596734465327</v>
      </c>
      <c r="AG89" s="55">
        <v>4.8082659250673636</v>
      </c>
      <c r="AH89" s="55">
        <v>5.3160310958259718</v>
      </c>
      <c r="AI89" s="55">
        <v>4.938925608522907</v>
      </c>
      <c r="AJ89" s="55">
        <f t="shared" ca="1" si="29"/>
        <v>4.9598222775475573</v>
      </c>
      <c r="AK89" s="55">
        <f t="shared" ca="1" si="41"/>
        <v>2.8430206799608415E-3</v>
      </c>
      <c r="AL89" s="55">
        <f t="shared" ca="1" si="57"/>
        <v>1.6668312318280833E-2</v>
      </c>
      <c r="AM89" s="55">
        <f t="shared" ca="1" si="57"/>
        <v>4.8862225571918695E-2</v>
      </c>
      <c r="AN89" s="55">
        <f t="shared" ca="1" si="57"/>
        <v>9.5491254793387187E-2</v>
      </c>
      <c r="AO89" s="55">
        <f t="shared" ca="1" si="57"/>
        <v>0.13996363707268503</v>
      </c>
      <c r="AP89" s="55">
        <f t="shared" ca="1" si="57"/>
        <v>0.16411823047042742</v>
      </c>
      <c r="AQ89" s="55">
        <f t="shared" ca="1" si="52"/>
        <v>0.17543889461206064</v>
      </c>
      <c r="AR89" s="55">
        <f t="shared" ca="1" si="52"/>
        <v>0.1768600615048736</v>
      </c>
      <c r="AS89" s="55">
        <f t="shared" ca="1" si="52"/>
        <v>0.14263419260443674</v>
      </c>
      <c r="AT89" s="55">
        <f t="shared" ca="1" si="52"/>
        <v>8.6273772298327528E-2</v>
      </c>
      <c r="AU89" s="55">
        <f t="shared" ca="1" si="52"/>
        <v>3.4789057942207803E-2</v>
      </c>
      <c r="AV89" s="55">
        <f t="shared" ca="1" si="52"/>
        <v>7.0141742980778061E-3</v>
      </c>
      <c r="AW89" s="55">
        <f t="shared" ca="1" si="31"/>
        <v>0.16411823047042742</v>
      </c>
      <c r="AX89" s="55">
        <f t="shared" ca="1" si="32"/>
        <v>0.1768600615048736</v>
      </c>
      <c r="AY89" s="54">
        <f t="shared" ca="1" si="43"/>
        <v>5</v>
      </c>
      <c r="AZ89" s="54">
        <f t="shared" ca="1" si="44"/>
        <v>4</v>
      </c>
      <c r="BA89" s="54" t="str">
        <f t="shared" si="45"/>
        <v>Kerala BlastersEast Bengal</v>
      </c>
      <c r="BB89" s="54">
        <f t="shared" ca="1" si="53"/>
        <v>3</v>
      </c>
      <c r="BC89" s="54">
        <f t="shared" ca="1" si="54"/>
        <v>0</v>
      </c>
      <c r="BD89" s="54">
        <f t="shared" ca="1" si="55"/>
        <v>1</v>
      </c>
      <c r="BE89" s="54" t="str">
        <f t="shared" ca="1" si="46"/>
        <v>HW</v>
      </c>
      <c r="BF89" s="55" t="str">
        <f t="shared" ca="1" si="47"/>
        <v>AL</v>
      </c>
      <c r="BG89" s="86">
        <f t="shared" ca="1" si="48"/>
        <v>0.125734074011947</v>
      </c>
      <c r="BH89" s="86">
        <f t="shared" ca="1" si="49"/>
        <v>7.1982361277382417E-2</v>
      </c>
      <c r="BI89" s="87">
        <f t="shared" ca="1" si="56"/>
        <v>0.80228356471067053</v>
      </c>
    </row>
    <row r="90" spans="1:61" x14ac:dyDescent="0.2">
      <c r="A90" s="52">
        <f>'ISL 8'!B91</f>
        <v>44604</v>
      </c>
      <c r="B90" s="54">
        <f>'ISL 8'!C91</f>
        <v>88</v>
      </c>
      <c r="C90" s="54" t="str">
        <f>'ISL 8'!D91</f>
        <v>Goa</v>
      </c>
      <c r="D90" s="54">
        <f ca="1">IF('ISL 8'!E91&lt;&gt;"",'ISL 8'!E91,INDEX($AK$2:$AP$2,,MATCH($AW90,AK90:AP90,0)))</f>
        <v>4</v>
      </c>
      <c r="E90" s="54" t="str">
        <f>'ISL 8'!G91</f>
        <v>ATK-MB</v>
      </c>
      <c r="F90" s="54">
        <f ca="1">IF('ISL 8'!F91&lt;&gt;"",'ISL 8'!F91,INDEX($AQ$2:$AV$2,,MATCH($AX90,AQ90:AV90,0)))</f>
        <v>5</v>
      </c>
      <c r="G90" s="55">
        <f>VLOOKUP($C90,'ISL Total'!$D$5:$AH$15,25,0)</f>
        <v>1.7934931050517995</v>
      </c>
      <c r="H90" s="55">
        <f>VLOOKUP($C90,'ISL Total'!$D$5:$AH$15,28,0)</f>
        <v>2.0847265162792477</v>
      </c>
      <c r="I90" s="55">
        <f>VLOOKUP($E90,'ISL Total'!$D$5:$AH$15,26,0)</f>
        <v>2.3848410244665827</v>
      </c>
      <c r="J90" s="55">
        <f>VLOOKUP(E90,'ISL Total'!$D$5:$AH$15,29,0)</f>
        <v>1.8807593937667644</v>
      </c>
      <c r="K90" s="55">
        <f t="shared" si="26"/>
        <v>4.8296767489003845</v>
      </c>
      <c r="L90" s="55">
        <f t="shared" si="27"/>
        <v>6.6600529948975087</v>
      </c>
      <c r="M90" s="55">
        <f t="shared" ca="1" si="50"/>
        <v>5.0462995509803212</v>
      </c>
      <c r="N90" s="55">
        <v>5.1874331225104813</v>
      </c>
      <c r="O90" s="55">
        <v>4.8388586347290756</v>
      </c>
      <c r="P90" s="55">
        <v>4.8744102731866104</v>
      </c>
      <c r="Q90" s="55">
        <v>4.5381524401048141</v>
      </c>
      <c r="R90" s="55">
        <v>4.9408504507778295</v>
      </c>
      <c r="S90" s="55">
        <v>5.0626594493749506</v>
      </c>
      <c r="T90" s="55">
        <v>4.6481053290563441</v>
      </c>
      <c r="U90" s="55">
        <v>4.5108120781898684</v>
      </c>
      <c r="V90" s="55">
        <v>4.6021304613235161</v>
      </c>
      <c r="W90" s="55">
        <v>4.594417063991326</v>
      </c>
      <c r="X90" s="55">
        <f t="shared" ca="1" si="28"/>
        <v>4.8040117140204668</v>
      </c>
      <c r="Y90" s="55">
        <f t="shared" ca="1" si="51"/>
        <v>6.7625181151308835</v>
      </c>
      <c r="Z90" s="55">
        <v>7.1636445857698039</v>
      </c>
      <c r="AA90" s="55">
        <v>6.7550833691796894</v>
      </c>
      <c r="AB90" s="55">
        <v>6.64078288392672</v>
      </c>
      <c r="AC90" s="55">
        <v>6.0362570733187244</v>
      </c>
      <c r="AD90" s="55">
        <v>6.7332469495278104</v>
      </c>
      <c r="AE90" s="55">
        <v>6.6636383356952722</v>
      </c>
      <c r="AF90" s="55">
        <v>6.3683398520635208</v>
      </c>
      <c r="AG90" s="55">
        <v>6.2997894555782246</v>
      </c>
      <c r="AH90" s="55">
        <v>6.5887070232455578</v>
      </c>
      <c r="AI90" s="55">
        <v>6.5667901806842037</v>
      </c>
      <c r="AJ90" s="55">
        <f t="shared" ca="1" si="29"/>
        <v>6.5980725294654921</v>
      </c>
      <c r="AK90" s="55">
        <f t="shared" ca="1" si="41"/>
        <v>8.1967977930845985E-3</v>
      </c>
      <c r="AL90" s="55">
        <f t="shared" ca="1" si="57"/>
        <v>3.9377512615435518E-2</v>
      </c>
      <c r="AM90" s="55">
        <f t="shared" ca="1" si="57"/>
        <v>9.4585015936770475E-2</v>
      </c>
      <c r="AN90" s="55">
        <f t="shared" ca="1" si="57"/>
        <v>0.15146250817701931</v>
      </c>
      <c r="AO90" s="55">
        <f t="shared" ca="1" si="57"/>
        <v>0.18190691587933042</v>
      </c>
      <c r="AP90" s="55">
        <f t="shared" ca="1" si="57"/>
        <v>0.17477659094912776</v>
      </c>
      <c r="AQ90" s="55">
        <f t="shared" ca="1" si="52"/>
        <v>0.14203575670500704</v>
      </c>
      <c r="AR90" s="55">
        <f t="shared" ca="1" si="52"/>
        <v>0.10763427961022534</v>
      </c>
      <c r="AS90" s="55">
        <f t="shared" ca="1" si="52"/>
        <v>6.5251952978422123E-2</v>
      </c>
      <c r="AT90" s="55">
        <f t="shared" ca="1" si="52"/>
        <v>2.9668643086456732E-2</v>
      </c>
      <c r="AU90" s="55">
        <f t="shared" ca="1" si="52"/>
        <v>8.9931242659013876E-3</v>
      </c>
      <c r="AV90" s="55">
        <f t="shared" ca="1" si="52"/>
        <v>1.3629926354613621E-3</v>
      </c>
      <c r="AW90" s="55">
        <f t="shared" ca="1" si="31"/>
        <v>0.18190691587933042</v>
      </c>
      <c r="AX90" s="55">
        <f t="shared" ca="1" si="32"/>
        <v>0.14203575670500704</v>
      </c>
      <c r="AY90" s="54">
        <f ca="1">INDEX($AK$2:$AP$2,,MATCH($AW90,AK90:AP90,0))</f>
        <v>4</v>
      </c>
      <c r="AZ90" s="54">
        <f ca="1">INDEX($AQ$2:$AV$2,,MATCH($AX90,AQ90:AV90,0))</f>
        <v>5</v>
      </c>
      <c r="BA90" s="54" t="str">
        <f t="shared" si="45"/>
        <v>GoaATK-MB</v>
      </c>
      <c r="BB90" s="54">
        <f ca="1">IF(COUNT(D90),IF(D90&gt;F90,3,IF(D90=F90,1,0)),"")</f>
        <v>0</v>
      </c>
      <c r="BC90" s="54">
        <f t="shared" ca="1" si="54"/>
        <v>3</v>
      </c>
      <c r="BD90" s="54">
        <f t="shared" ca="1" si="55"/>
        <v>1</v>
      </c>
      <c r="BE90" s="54" t="str">
        <f t="shared" ca="1" si="46"/>
        <v>HL</v>
      </c>
      <c r="BF90" s="55" t="str">
        <f t="shared" ca="1" si="47"/>
        <v>AW</v>
      </c>
      <c r="BG90" s="86">
        <f t="shared" ca="1" si="48"/>
        <v>6.3457874906506895E-2</v>
      </c>
      <c r="BH90" s="86">
        <f t="shared" ca="1" si="49"/>
        <v>5.7458677776545092E-2</v>
      </c>
      <c r="BI90" s="87">
        <f t="shared" ca="1" si="56"/>
        <v>0.87908344731694799</v>
      </c>
    </row>
    <row r="91" spans="1:61" x14ac:dyDescent="0.2">
      <c r="A91" s="52">
        <f>'ISL 8'!B92</f>
        <v>44605</v>
      </c>
      <c r="B91" s="54">
        <f>'ISL 8'!C92</f>
        <v>89</v>
      </c>
      <c r="C91" s="54" t="str">
        <f>'ISL 8'!D92</f>
        <v>Odisha</v>
      </c>
      <c r="D91" s="54">
        <f ca="1">IF('ISL 8'!E92&lt;&gt;"",'ISL 8'!E92,INDEX($AK$2:$AP$2,,MATCH($AW91,AK91:AP91,0)))</f>
        <v>3</v>
      </c>
      <c r="E91" s="54" t="str">
        <f>'ISL 8'!G92</f>
        <v>Chennaiyin</v>
      </c>
      <c r="F91" s="54">
        <f ca="1">IF('ISL 8'!F92&lt;&gt;"",'ISL 8'!F92,INDEX($AQ$2:$AV$2,,MATCH($AX91,AQ91:AV91,0)))</f>
        <v>3</v>
      </c>
      <c r="G91" s="55">
        <f>VLOOKUP($C91,'ISL Total'!$D$5:$AH$15,25,0)</f>
        <v>1.4571180555555554</v>
      </c>
      <c r="H91" s="55">
        <f>VLOOKUP($C91,'ISL Total'!$D$5:$AH$15,28,0)</f>
        <v>1.7565140845070424</v>
      </c>
      <c r="I91" s="55">
        <f>VLOOKUP($E91,'ISL Total'!$D$5:$AH$15,26,0)</f>
        <v>1.4832889614107407</v>
      </c>
      <c r="J91" s="55">
        <f>VLOOKUP(E91,'ISL Total'!$D$5:$AH$15,29,0)</f>
        <v>1.6817905576540886</v>
      </c>
      <c r="K91" s="55">
        <f t="shared" si="26"/>
        <v>3.5087446445695059</v>
      </c>
      <c r="L91" s="55">
        <f t="shared" si="27"/>
        <v>3.4901698449736922</v>
      </c>
      <c r="M91" s="55">
        <f t="shared" ca="1" si="50"/>
        <v>3.3193472593079512</v>
      </c>
      <c r="N91" s="55">
        <v>3.7783606919237762</v>
      </c>
      <c r="O91" s="55">
        <v>3.449273217170385</v>
      </c>
      <c r="P91" s="55">
        <v>3.6422859895211293</v>
      </c>
      <c r="Q91" s="55">
        <v>3.2425932439849192</v>
      </c>
      <c r="R91" s="55">
        <v>3.2432028220107343</v>
      </c>
      <c r="S91" s="55">
        <v>3.6543145031466522</v>
      </c>
      <c r="T91" s="55">
        <v>3.4479913585823851</v>
      </c>
      <c r="U91" s="55">
        <v>3.3815312928187571</v>
      </c>
      <c r="V91" s="55">
        <v>3.3823598307329492</v>
      </c>
      <c r="W91" s="55">
        <v>3.6962346751714583</v>
      </c>
      <c r="X91" s="55">
        <f t="shared" ca="1" si="28"/>
        <v>3.4761358985791904</v>
      </c>
      <c r="Y91" s="55">
        <f t="shared" ca="1" si="51"/>
        <v>3.1158431420334836</v>
      </c>
      <c r="Z91" s="55">
        <v>3.3797696391790506</v>
      </c>
      <c r="AA91" s="55">
        <v>3.7849966870224927</v>
      </c>
      <c r="AB91" s="55">
        <v>3.1590602010711311</v>
      </c>
      <c r="AC91" s="55">
        <v>3.9174968053717922</v>
      </c>
      <c r="AD91" s="55">
        <v>3.2464738416558223</v>
      </c>
      <c r="AE91" s="55">
        <v>4.0268622629377777</v>
      </c>
      <c r="AF91" s="55">
        <v>3.3392973548276785</v>
      </c>
      <c r="AG91" s="55">
        <v>3.5765248949720303</v>
      </c>
      <c r="AH91" s="55">
        <v>3.6696204076579879</v>
      </c>
      <c r="AI91" s="55">
        <v>3.5396027373252914</v>
      </c>
      <c r="AJ91" s="55">
        <f t="shared" ca="1" si="29"/>
        <v>3.5232316340049579</v>
      </c>
      <c r="AK91" s="55">
        <f t="shared" ca="1" si="41"/>
        <v>3.0926684287061426E-2</v>
      </c>
      <c r="AL91" s="55">
        <f t="shared" ca="1" si="57"/>
        <v>0.10750535747427921</v>
      </c>
      <c r="AM91" s="55">
        <f t="shared" ca="1" si="57"/>
        <v>0.18685161620296534</v>
      </c>
      <c r="AN91" s="55">
        <f t="shared" ca="1" si="57"/>
        <v>0.21650720359688963</v>
      </c>
      <c r="AO91" s="55">
        <f t="shared" ca="1" si="57"/>
        <v>0.1881521156810354</v>
      </c>
      <c r="AP91" s="55">
        <f t="shared" ca="1" si="57"/>
        <v>0.13080846474249433</v>
      </c>
      <c r="AQ91" s="55">
        <f t="shared" ca="1" si="52"/>
        <v>0.133476460116638</v>
      </c>
      <c r="AR91" s="55">
        <f t="shared" ca="1" si="52"/>
        <v>0.18942333911340301</v>
      </c>
      <c r="AS91" s="55">
        <f t="shared" ca="1" si="52"/>
        <v>0.2150563559717816</v>
      </c>
      <c r="AT91" s="55">
        <f t="shared" ca="1" si="52"/>
        <v>0.18311854993818918</v>
      </c>
      <c r="AU91" s="55">
        <f t="shared" ca="1" si="52"/>
        <v>0.1039491971920297</v>
      </c>
      <c r="AV91" s="55">
        <f t="shared" ca="1" si="52"/>
        <v>2.9503935020550345E-2</v>
      </c>
      <c r="AW91" s="55">
        <f t="shared" ca="1" si="31"/>
        <v>0.21650720359688963</v>
      </c>
      <c r="AX91" s="55">
        <f t="shared" ca="1" si="32"/>
        <v>0.2150563559717816</v>
      </c>
      <c r="AY91" s="54">
        <f t="shared" ca="1" si="43"/>
        <v>3</v>
      </c>
      <c r="AZ91" s="54">
        <f t="shared" ca="1" si="44"/>
        <v>3</v>
      </c>
      <c r="BA91" s="54" t="str">
        <f t="shared" si="45"/>
        <v>OdishaChennaiyin</v>
      </c>
      <c r="BB91" s="54">
        <f t="shared" ca="1" si="53"/>
        <v>1</v>
      </c>
      <c r="BC91" s="54">
        <f t="shared" ca="1" si="54"/>
        <v>1</v>
      </c>
      <c r="BD91" s="54">
        <f t="shared" ca="1" si="55"/>
        <v>0</v>
      </c>
      <c r="BE91" s="54" t="str">
        <f t="shared" ca="1" si="46"/>
        <v>HD</v>
      </c>
      <c r="BF91" s="55" t="str">
        <f t="shared" ca="1" si="47"/>
        <v>AD</v>
      </c>
      <c r="BG91" s="86">
        <f t="shared" ca="1" si="48"/>
        <v>0.29099437794778954</v>
      </c>
      <c r="BH91" s="86">
        <f t="shared" ca="1" si="49"/>
        <v>0.14596505458745501</v>
      </c>
      <c r="BI91" s="87">
        <f t="shared" ca="1" si="56"/>
        <v>0.56304056746475539</v>
      </c>
    </row>
    <row r="92" spans="1:61" x14ac:dyDescent="0.2">
      <c r="A92" s="52">
        <f>'ISL 8'!B93</f>
        <v>44606</v>
      </c>
      <c r="B92" s="54">
        <f>'ISL 8'!C93</f>
        <v>90</v>
      </c>
      <c r="C92" s="54" t="str">
        <f>'ISL 8'!D93</f>
        <v>Jamshedpur</v>
      </c>
      <c r="D92" s="54">
        <f ca="1">IF('ISL 8'!E93&lt;&gt;"",'ISL 8'!E93,INDEX($AK$2:$AP$2,,MATCH($AW92,AK92:AP92,0)))</f>
        <v>4</v>
      </c>
      <c r="E92" s="54" t="str">
        <f>'ISL 8'!G93</f>
        <v>Mumbai City</v>
      </c>
      <c r="F92" s="54">
        <f ca="1">IF('ISL 8'!F93&lt;&gt;"",'ISL 8'!F93,INDEX($AQ$2:$AV$2,,MATCH($AX92,AQ92:AV92,0)))</f>
        <v>5</v>
      </c>
      <c r="G92" s="55">
        <f>VLOOKUP($C92,'ISL Total'!$D$5:$AH$15,25,0)</f>
        <v>1.6665097487371039</v>
      </c>
      <c r="H92" s="55">
        <f>VLOOKUP($C92,'ISL Total'!$D$5:$AH$15,28,0)</f>
        <v>1.5979083171113402</v>
      </c>
      <c r="I92" s="55">
        <f>VLOOKUP($E92,'ISL Total'!$D$5:$AH$15,26,0)</f>
        <v>2.4343333715027291</v>
      </c>
      <c r="J92" s="55">
        <f>VLOOKUP(E92,'ISL Total'!$D$5:$AH$15,29,0)</f>
        <v>1.9843487615958779</v>
      </c>
      <c r="K92" s="55">
        <f t="shared" si="26"/>
        <v>4.7349017993281137</v>
      </c>
      <c r="L92" s="55">
        <f t="shared" si="27"/>
        <v>5.2107599999191514</v>
      </c>
      <c r="M92" s="55">
        <f t="shared" ca="1" si="50"/>
        <v>4.7305676527559326</v>
      </c>
      <c r="N92" s="55">
        <v>4.3055562856859844</v>
      </c>
      <c r="O92" s="55">
        <v>4.7235408200837181</v>
      </c>
      <c r="P92" s="55">
        <v>4.7191954129663243</v>
      </c>
      <c r="Q92" s="55">
        <v>4.1478599470664177</v>
      </c>
      <c r="R92" s="55">
        <v>4.4954118452832557</v>
      </c>
      <c r="S92" s="55">
        <v>3.9756345369476453</v>
      </c>
      <c r="T92" s="55">
        <v>4.3815463465829501</v>
      </c>
      <c r="U92" s="55">
        <v>4.8207531216438051</v>
      </c>
      <c r="V92" s="55">
        <v>5.5778121831066514</v>
      </c>
      <c r="W92" s="55">
        <v>4.8896811471463115</v>
      </c>
      <c r="X92" s="55">
        <f t="shared" ca="1" si="28"/>
        <v>4.615232663569909</v>
      </c>
      <c r="Y92" s="55">
        <f t="shared" ca="1" si="51"/>
        <v>4.9859704333529571</v>
      </c>
      <c r="Z92" s="55">
        <v>5.3638888349220188</v>
      </c>
      <c r="AA92" s="55">
        <v>5.0870578780061209</v>
      </c>
      <c r="AB92" s="55">
        <v>5.2591536572050774</v>
      </c>
      <c r="AC92" s="55">
        <v>5.1140966095891285</v>
      </c>
      <c r="AD92" s="55">
        <v>5.0962948424838714</v>
      </c>
      <c r="AE92" s="55">
        <v>5.321994445566812</v>
      </c>
      <c r="AF92" s="55">
        <v>5.4437669784368703</v>
      </c>
      <c r="AG92" s="55">
        <v>5.1627352200828369</v>
      </c>
      <c r="AH92" s="55">
        <v>5.4399343030828122</v>
      </c>
      <c r="AI92" s="55">
        <v>5.7320593633435939</v>
      </c>
      <c r="AJ92" s="55">
        <f t="shared" ca="1" si="29"/>
        <v>5.2733593241883732</v>
      </c>
      <c r="AK92" s="55">
        <f t="shared" ca="1" si="41"/>
        <v>9.8998797976194031E-3</v>
      </c>
      <c r="AL92" s="55">
        <f t="shared" ca="1" si="57"/>
        <v>4.5690248607388934E-2</v>
      </c>
      <c r="AM92" s="55">
        <f t="shared" ca="1" si="57"/>
        <v>0.10543556388972547</v>
      </c>
      <c r="AN92" s="55">
        <f t="shared" ca="1" si="57"/>
        <v>0.1622032194552577</v>
      </c>
      <c r="AO92" s="55">
        <f t="shared" ca="1" si="57"/>
        <v>0.18715139914152587</v>
      </c>
      <c r="AP92" s="55">
        <f t="shared" ca="1" si="57"/>
        <v>0.17274945007015591</v>
      </c>
      <c r="AQ92" s="55">
        <f t="shared" ca="1" si="52"/>
        <v>0.17420664752173826</v>
      </c>
      <c r="AR92" s="55">
        <f t="shared" ca="1" si="52"/>
        <v>0.16517615888857579</v>
      </c>
      <c r="AS92" s="55">
        <f t="shared" ca="1" si="52"/>
        <v>0.12529103270541736</v>
      </c>
      <c r="AT92" s="55">
        <f t="shared" ca="1" si="52"/>
        <v>7.1277733036730448E-2</v>
      </c>
      <c r="AU92" s="55">
        <f t="shared" ca="1" si="52"/>
        <v>2.7033140984642021E-2</v>
      </c>
      <c r="AV92" s="55">
        <f t="shared" ca="1" si="52"/>
        <v>5.1263605081193122E-3</v>
      </c>
      <c r="AW92" s="55">
        <f t="shared" ca="1" si="31"/>
        <v>0.18715139914152587</v>
      </c>
      <c r="AX92" s="55">
        <f t="shared" ca="1" si="32"/>
        <v>0.17420664752173826</v>
      </c>
      <c r="AY92" s="54">
        <f t="shared" ca="1" si="43"/>
        <v>4</v>
      </c>
      <c r="AZ92" s="54">
        <f t="shared" ca="1" si="44"/>
        <v>5</v>
      </c>
      <c r="BA92" s="54" t="str">
        <f t="shared" si="45"/>
        <v>JamshedpurMumbai City</v>
      </c>
      <c r="BB92" s="54">
        <f t="shared" ca="1" si="53"/>
        <v>0</v>
      </c>
      <c r="BC92" s="54">
        <f t="shared" ca="1" si="54"/>
        <v>3</v>
      </c>
      <c r="BD92" s="54">
        <f t="shared" ca="1" si="55"/>
        <v>1</v>
      </c>
      <c r="BE92" s="54" t="str">
        <f t="shared" ca="1" si="46"/>
        <v>HL</v>
      </c>
      <c r="BF92" s="55" t="str">
        <f t="shared" ca="1" si="47"/>
        <v>AW</v>
      </c>
      <c r="BG92" s="86">
        <f t="shared" ca="1" si="48"/>
        <v>0.1312564205418634</v>
      </c>
      <c r="BH92" s="86">
        <f t="shared" ca="1" si="49"/>
        <v>9.0130769933023921E-2</v>
      </c>
      <c r="BI92" s="87">
        <f t="shared" ca="1" si="56"/>
        <v>0.77861280952511269</v>
      </c>
    </row>
    <row r="93" spans="1:61" x14ac:dyDescent="0.2">
      <c r="A93" s="52">
        <f>'ISL 8'!B94</f>
        <v>44607</v>
      </c>
      <c r="B93" s="54">
        <f>'ISL 8'!C94</f>
        <v>91</v>
      </c>
      <c r="C93" s="54" t="str">
        <f>'ISL 8'!D94</f>
        <v>NorthEast United</v>
      </c>
      <c r="D93" s="54">
        <f ca="1">IF('ISL 8'!E94&lt;&gt;"",'ISL 8'!E94,INDEX($AK$2:$AP$2,,MATCH($AW93,AK93:AP93,0)))</f>
        <v>4</v>
      </c>
      <c r="E93" s="54" t="str">
        <f>'ISL 8'!G94</f>
        <v>Bengaluru</v>
      </c>
      <c r="F93" s="54">
        <f ca="1">IF('ISL 8'!F94&lt;&gt;"",'ISL 8'!F94,INDEX($AQ$2:$AV$2,,MATCH($AX93,AQ93:AV93,0)))</f>
        <v>5</v>
      </c>
      <c r="G93" s="55">
        <f>VLOOKUP($C93,'ISL Total'!$D$5:$AH$15,25,0)</f>
        <v>1.9869978963421873</v>
      </c>
      <c r="H93" s="55">
        <f>VLOOKUP($C93,'ISL Total'!$D$5:$AH$15,28,0)</f>
        <v>2.4341100805374252</v>
      </c>
      <c r="I93" s="55">
        <f>VLOOKUP($E93,'ISL Total'!$D$5:$AH$15,26,0)</f>
        <v>2.137197984655903</v>
      </c>
      <c r="J93" s="55">
        <f>VLOOKUP(E93,'ISL Total'!$D$5:$AH$15,29,0)</f>
        <v>1.6538618669066225</v>
      </c>
      <c r="K93" s="55">
        <f t="shared" ref="K93:K112" si="58">($K$2*G93*J93)</f>
        <v>4.7052397182758234</v>
      </c>
      <c r="L93" s="55">
        <f t="shared" ref="L93:L112" si="59">$L$2*H93*I93</f>
        <v>6.9687379147534081</v>
      </c>
      <c r="M93" s="55">
        <f t="shared" ca="1" si="50"/>
        <v>5.1605675992783269</v>
      </c>
      <c r="N93" s="55">
        <v>4.811818065244009</v>
      </c>
      <c r="O93" s="55">
        <v>4.6639245352202368</v>
      </c>
      <c r="P93" s="55">
        <v>4.7928596519942044</v>
      </c>
      <c r="Q93" s="55">
        <v>5.0899129826068998</v>
      </c>
      <c r="R93" s="55">
        <v>4.2178603617718009</v>
      </c>
      <c r="S93" s="55">
        <v>4.5086897821447831</v>
      </c>
      <c r="T93" s="55">
        <v>4.8520651218795257</v>
      </c>
      <c r="U93" s="55">
        <v>4.3970929471765308</v>
      </c>
      <c r="V93" s="55">
        <v>4.1169755636167666</v>
      </c>
      <c r="W93" s="55">
        <v>4.734853599905696</v>
      </c>
      <c r="X93" s="55">
        <f t="shared" ref="X93:X112" ca="1" si="60">AVERAGE(M93:W93)</f>
        <v>4.6678745646217079</v>
      </c>
      <c r="Y93" s="55">
        <f t="shared" ca="1" si="51"/>
        <v>7.2052661121234811</v>
      </c>
      <c r="Z93" s="55">
        <v>7.4564063469396782</v>
      </c>
      <c r="AA93" s="55">
        <v>6.7589274805602422</v>
      </c>
      <c r="AB93" s="55">
        <v>6.9478161185728222</v>
      </c>
      <c r="AC93" s="55">
        <v>7.1013621091932615</v>
      </c>
      <c r="AD93" s="55">
        <v>7.2071366437400846</v>
      </c>
      <c r="AE93" s="55">
        <v>7.4738995265293111</v>
      </c>
      <c r="AF93" s="55">
        <v>6.7670979673331884</v>
      </c>
      <c r="AG93" s="55">
        <v>7.2013799161092447</v>
      </c>
      <c r="AH93" s="55">
        <v>6.7606203425560665</v>
      </c>
      <c r="AI93" s="55">
        <v>7.1654530033161512</v>
      </c>
      <c r="AJ93" s="55">
        <f t="shared" ref="AJ93:AJ112" ca="1" si="61">AVERAGE(Y93:AI93)</f>
        <v>7.0950332333612289</v>
      </c>
      <c r="AK93" s="55">
        <f t="shared" ca="1" si="41"/>
        <v>9.3922108647389573E-3</v>
      </c>
      <c r="AL93" s="55">
        <f t="shared" ca="1" si="57"/>
        <v>4.3841662201078636E-2</v>
      </c>
      <c r="AM93" s="55">
        <f t="shared" ca="1" si="57"/>
        <v>0.10232368992957597</v>
      </c>
      <c r="AN93" s="55">
        <f t="shared" ca="1" si="57"/>
        <v>0.15921138319350198</v>
      </c>
      <c r="AO93" s="55">
        <f t="shared" ca="1" si="57"/>
        <v>0.18579469150179706</v>
      </c>
      <c r="AP93" s="55">
        <f t="shared" ca="1" si="57"/>
        <v>0.17345326294059504</v>
      </c>
      <c r="AQ93" s="55">
        <f t="shared" ca="1" si="52"/>
        <v>0.12423876969119851</v>
      </c>
      <c r="AR93" s="55">
        <f t="shared" ca="1" si="52"/>
        <v>8.7553338796935568E-2</v>
      </c>
      <c r="AS93" s="55">
        <f t="shared" ca="1" si="52"/>
        <v>4.9360354443587398E-2</v>
      </c>
      <c r="AT93" s="55">
        <f t="shared" ca="1" si="52"/>
        <v>2.0871088049944156E-2</v>
      </c>
      <c r="AU93" s="55">
        <f t="shared" ca="1" si="52"/>
        <v>5.8832953598602399E-3</v>
      </c>
      <c r="AV93" s="55">
        <f t="shared" ca="1" si="52"/>
        <v>8.2921322090454301E-4</v>
      </c>
      <c r="AW93" s="55">
        <f t="shared" ref="AW93:AW112" ca="1" si="62">MAX(AK93:AP93)</f>
        <v>0.18579469150179706</v>
      </c>
      <c r="AX93" s="55">
        <f t="shared" ref="AX93:AX112" ca="1" si="63">MAX(AQ93:AV93)</f>
        <v>0.12423876969119851</v>
      </c>
      <c r="AY93" s="54">
        <f t="shared" ref="AY93:AY112" ca="1" si="64">INDEX($AK$2:$AP$2,,MATCH($AW93,AK93:AP93,0))</f>
        <v>4</v>
      </c>
      <c r="AZ93" s="54">
        <f t="shared" ref="AZ93:AZ112" ca="1" si="65">INDEX($AQ$2:$AV$2,,MATCH($AX93,AQ93:AV93,0))</f>
        <v>5</v>
      </c>
      <c r="BA93" s="54" t="str">
        <f t="shared" ref="BA93:BA112" si="66">C93&amp;E93</f>
        <v>NorthEast UnitedBengaluru</v>
      </c>
      <c r="BB93" s="54">
        <f t="shared" ref="BB93:BB112" ca="1" si="67">IF(COUNT(D93),IF(D93&gt;F93,3,IF(D93=F93,1,0)),"")</f>
        <v>0</v>
      </c>
      <c r="BC93" s="54">
        <f t="shared" ref="BC93:BC112" ca="1" si="68">IF(COUNT(F93),IF(F93&gt;D93,3,IF(F93=D93,1,0)),"")</f>
        <v>3</v>
      </c>
      <c r="BD93" s="54">
        <f t="shared" ref="BD93:BD112" ca="1" si="69">ABS(D93-F93)</f>
        <v>1</v>
      </c>
      <c r="BE93" s="54" t="str">
        <f t="shared" ref="BE93:BE112" ca="1" si="70">IF(D93&gt;F93,"HW",IF(D93=F93,"HD","HL"))</f>
        <v>HL</v>
      </c>
      <c r="BF93" s="55" t="str">
        <f t="shared" ref="BF93:BF112" ca="1" si="71">IF(F93&gt;D93,"AW",IF(F93=D93,"AD","AL"))</f>
        <v>AW</v>
      </c>
      <c r="BG93" s="86">
        <f t="shared" ref="BG93:BG112" ca="1" si="72">(SUM(AL93:AP93)*AV93)+(SUM(AM93:AP93)*AU93)+(SUM(AN93:AP93)*AT93)+(SUM(AO93:AP93)*AS93)+(SUM(AP93)*AR93)</f>
        <v>4.7943194631446473E-2</v>
      </c>
      <c r="BH93" s="86">
        <f t="shared" ref="BH93:BH112" ca="1" si="73">(AK93*AV93)+(AL93*AU93)+(AM93*AT93)+(AN93*AS93)+(AO93*AR93)+(AP93*AQ93)</f>
        <v>4.8076624199611617E-2</v>
      </c>
      <c r="BI93" s="87">
        <f t="shared" ref="BI93:BI112" ca="1" si="74">100%-(BG93+BH93)</f>
        <v>0.90398018116894185</v>
      </c>
    </row>
    <row r="94" spans="1:61" x14ac:dyDescent="0.2">
      <c r="A94" s="52">
        <f>'ISL 8'!B95</f>
        <v>44608</v>
      </c>
      <c r="B94" s="54">
        <f>'ISL 8'!C95</f>
        <v>92</v>
      </c>
      <c r="C94" s="54" t="str">
        <f>'ISL 8'!D95</f>
        <v>Kerala Blasters</v>
      </c>
      <c r="D94" s="54">
        <f ca="1">IF('ISL 8'!E95&lt;&gt;"",'ISL 8'!E95,INDEX($AK$2:$AP$2,,MATCH($AW94,AK94:AP94,0)))</f>
        <v>4</v>
      </c>
      <c r="E94" s="54" t="str">
        <f>'ISL 8'!G95</f>
        <v>ATK-MB</v>
      </c>
      <c r="F94" s="54">
        <f ca="1">IF('ISL 8'!F95&lt;&gt;"",'ISL 8'!F95,INDEX($AQ$2:$AV$2,,MATCH($AX94,AQ94:AV94,0)))</f>
        <v>5</v>
      </c>
      <c r="G94" s="55">
        <f>VLOOKUP($C94,'ISL Total'!$D$5:$AH$15,25,0)</f>
        <v>1.7408543887928634</v>
      </c>
      <c r="H94" s="55">
        <f>VLOOKUP($C94,'ISL Total'!$D$5:$AH$15,28,0)</f>
        <v>1.6729569830909576</v>
      </c>
      <c r="I94" s="55">
        <f>VLOOKUP($E94,'ISL Total'!$D$5:$AH$15,26,0)</f>
        <v>2.3848410244665827</v>
      </c>
      <c r="J94" s="55">
        <f>VLOOKUP(E94,'ISL Total'!$D$5:$AH$15,29,0)</f>
        <v>1.8807593937667644</v>
      </c>
      <c r="K94" s="55">
        <f t="shared" si="58"/>
        <v>4.687926561352044</v>
      </c>
      <c r="L94" s="55">
        <f t="shared" si="59"/>
        <v>5.344577371930531</v>
      </c>
      <c r="M94" s="55">
        <f t="shared" ca="1" si="50"/>
        <v>4.8054445148472062</v>
      </c>
      <c r="N94" s="55">
        <v>4.6139383086176888</v>
      </c>
      <c r="O94" s="55">
        <v>4.3021357379002119</v>
      </c>
      <c r="P94" s="55">
        <v>4.4455713699586852</v>
      </c>
      <c r="Q94" s="55">
        <v>5.2326167820145724</v>
      </c>
      <c r="R94" s="55">
        <v>5.1323721460910798</v>
      </c>
      <c r="S94" s="55">
        <v>4.6633055849140899</v>
      </c>
      <c r="T94" s="55">
        <v>4.9887055043156394</v>
      </c>
      <c r="U94" s="55">
        <v>4.2966375444186564</v>
      </c>
      <c r="V94" s="55">
        <v>4.4006989627328386</v>
      </c>
      <c r="W94" s="55">
        <v>4.9183441583544543</v>
      </c>
      <c r="X94" s="55">
        <f t="shared" ca="1" si="60"/>
        <v>4.7090700558331937</v>
      </c>
      <c r="Y94" s="55">
        <f t="shared" ca="1" si="51"/>
        <v>5.2197103642478035</v>
      </c>
      <c r="Z94" s="55">
        <v>5.343905373858556</v>
      </c>
      <c r="AA94" s="55">
        <v>5.2989295799338816</v>
      </c>
      <c r="AB94" s="55">
        <v>5.4295162210528218</v>
      </c>
      <c r="AC94" s="55">
        <v>5.2826104194027703</v>
      </c>
      <c r="AD94" s="55">
        <v>5.4545753246013575</v>
      </c>
      <c r="AE94" s="55">
        <v>5.6245345836210516</v>
      </c>
      <c r="AF94" s="55">
        <v>5.1888040122429935</v>
      </c>
      <c r="AG94" s="55">
        <v>5.3396547982782039</v>
      </c>
      <c r="AH94" s="55">
        <v>5.1605597857260612</v>
      </c>
      <c r="AI94" s="55">
        <v>5.2593854315636346</v>
      </c>
      <c r="AJ94" s="55">
        <f t="shared" ca="1" si="61"/>
        <v>5.3274714449571938</v>
      </c>
      <c r="AK94" s="55">
        <f t="shared" ca="1" si="41"/>
        <v>9.0131554176784805E-3</v>
      </c>
      <c r="AL94" s="55">
        <f t="shared" ca="1" si="57"/>
        <v>4.2443580285960458E-2</v>
      </c>
      <c r="AM94" s="55">
        <f t="shared" ca="1" si="57"/>
        <v>9.9934896493484221E-2</v>
      </c>
      <c r="AN94" s="55">
        <f t="shared" ca="1" si="57"/>
        <v>0.15686680953675206</v>
      </c>
      <c r="AO94" s="55">
        <f t="shared" ca="1" si="57"/>
        <v>0.18467419888590203</v>
      </c>
      <c r="AP94" s="55">
        <f t="shared" ca="1" si="57"/>
        <v>0.17392874801171698</v>
      </c>
      <c r="AQ94" s="55">
        <f t="shared" ref="AQ94:AV112" ca="1" si="75">_xlfn.POISSON.DIST(AQ$2,$AJ94,0)</f>
        <v>0.17367325976447182</v>
      </c>
      <c r="AR94" s="55">
        <f t="shared" ca="1" si="75"/>
        <v>0.16299783261050146</v>
      </c>
      <c r="AS94" s="55">
        <f t="shared" ca="1" si="75"/>
        <v>0.12238288598602609</v>
      </c>
      <c r="AT94" s="55">
        <f t="shared" ca="1" si="75"/>
        <v>6.8916119354447025E-2</v>
      </c>
      <c r="AU94" s="55">
        <f t="shared" ca="1" si="75"/>
        <v>2.5871980757280529E-2</v>
      </c>
      <c r="AV94" s="55">
        <f t="shared" ca="1" si="75"/>
        <v>4.8563340084666392E-3</v>
      </c>
      <c r="AW94" s="55">
        <f t="shared" ca="1" si="62"/>
        <v>0.18467419888590203</v>
      </c>
      <c r="AX94" s="55">
        <f t="shared" ca="1" si="63"/>
        <v>0.17367325976447182</v>
      </c>
      <c r="AY94" s="54">
        <f t="shared" ca="1" si="64"/>
        <v>4</v>
      </c>
      <c r="AZ94" s="54">
        <f t="shared" ca="1" si="65"/>
        <v>5</v>
      </c>
      <c r="BA94" s="54" t="str">
        <f t="shared" si="66"/>
        <v>Kerala BlastersATK-MB</v>
      </c>
      <c r="BB94" s="54">
        <f t="shared" ca="1" si="67"/>
        <v>0</v>
      </c>
      <c r="BC94" s="54">
        <f t="shared" ca="1" si="68"/>
        <v>3</v>
      </c>
      <c r="BD94" s="54">
        <f t="shared" ca="1" si="69"/>
        <v>1</v>
      </c>
      <c r="BE94" s="54" t="str">
        <f t="shared" ca="1" si="70"/>
        <v>HL</v>
      </c>
      <c r="BF94" s="55" t="str">
        <f t="shared" ca="1" si="71"/>
        <v>AW</v>
      </c>
      <c r="BG94" s="86">
        <f t="shared" ca="1" si="72"/>
        <v>0.1268775158628874</v>
      </c>
      <c r="BH94" s="86">
        <f t="shared" ca="1" si="73"/>
        <v>8.7535075297985196E-2</v>
      </c>
      <c r="BI94" s="87">
        <f t="shared" ca="1" si="74"/>
        <v>0.78558740883912748</v>
      </c>
    </row>
    <row r="95" spans="1:61" x14ac:dyDescent="0.2">
      <c r="A95" s="52">
        <f>'ISL 8'!B96</f>
        <v>44609</v>
      </c>
      <c r="B95" s="54">
        <f>'ISL 8'!C96</f>
        <v>93</v>
      </c>
      <c r="C95" s="54" t="str">
        <f>'ISL 8'!D96</f>
        <v>Hyderabad</v>
      </c>
      <c r="D95" s="54">
        <f ca="1">IF('ISL 8'!E96&lt;&gt;"",'ISL 8'!E96,INDEX($AK$2:$AP$2,,MATCH($AW95,AK95:AP95,0)))</f>
        <v>5</v>
      </c>
      <c r="E95" s="54" t="str">
        <f>'ISL 8'!G96</f>
        <v>Goa</v>
      </c>
      <c r="F95" s="54">
        <f ca="1">IF('ISL 8'!F96&lt;&gt;"",'ISL 8'!F96,INDEX($AQ$2:$AV$2,,MATCH($AX95,AQ95:AV95,0)))</f>
        <v>4</v>
      </c>
      <c r="G95" s="55">
        <f>VLOOKUP($C95,'ISL Total'!$D$5:$AH$15,25,0)</f>
        <v>2.6008540597170162</v>
      </c>
      <c r="H95" s="55">
        <f>VLOOKUP($C95,'ISL Total'!$D$5:$AH$15,28,0)</f>
        <v>1.7011584411618765</v>
      </c>
      <c r="I95" s="55">
        <f>VLOOKUP($E95,'ISL Total'!$D$5:$AH$15,26,0)</f>
        <v>2.0171275621206917</v>
      </c>
      <c r="J95" s="55">
        <f>VLOOKUP(E95,'ISL Total'!$D$5:$AH$15,29,0)</f>
        <v>2.2576929605011884</v>
      </c>
      <c r="K95" s="55">
        <f t="shared" si="58"/>
        <v>8.4074825708000827</v>
      </c>
      <c r="L95" s="55">
        <f t="shared" si="59"/>
        <v>4.5967119390001141</v>
      </c>
      <c r="M95" s="55">
        <f t="shared" ca="1" si="50"/>
        <v>7.8680562274967292</v>
      </c>
      <c r="N95" s="55">
        <v>8.6440829241145956</v>
      </c>
      <c r="O95" s="55">
        <v>7.7573403503192155</v>
      </c>
      <c r="P95" s="55">
        <v>8.7179965883266508</v>
      </c>
      <c r="Q95" s="55">
        <v>8.5919649353311112</v>
      </c>
      <c r="R95" s="55">
        <v>7.8985237047198842</v>
      </c>
      <c r="S95" s="55">
        <v>8.2864209160945901</v>
      </c>
      <c r="T95" s="55">
        <v>8.5907881369087384</v>
      </c>
      <c r="U95" s="55">
        <v>8.2998604460769432</v>
      </c>
      <c r="V95" s="55">
        <v>8.4044935821537798</v>
      </c>
      <c r="W95" s="55">
        <v>8.5982796367372227</v>
      </c>
      <c r="X95" s="55">
        <f t="shared" ca="1" si="60"/>
        <v>8.3325279498435876</v>
      </c>
      <c r="Y95" s="55">
        <f t="shared" ca="1" si="51"/>
        <v>4.537519617307832</v>
      </c>
      <c r="Z95" s="55">
        <v>4.8944947247331747</v>
      </c>
      <c r="AA95" s="55">
        <v>4.8460110552654738</v>
      </c>
      <c r="AB95" s="55">
        <v>4.1997486478067216</v>
      </c>
      <c r="AC95" s="55">
        <v>4.9558800000278618</v>
      </c>
      <c r="AD95" s="55">
        <v>4.6059290539027353</v>
      </c>
      <c r="AE95" s="55">
        <v>4.835160558893187</v>
      </c>
      <c r="AF95" s="55">
        <v>4.6326918976594058</v>
      </c>
      <c r="AG95" s="55">
        <v>4.4894008021458021</v>
      </c>
      <c r="AH95" s="55">
        <v>4.7249722986763274</v>
      </c>
      <c r="AI95" s="55">
        <v>4.7224279994756255</v>
      </c>
      <c r="AJ95" s="55">
        <f t="shared" ca="1" si="61"/>
        <v>4.6767487868994682</v>
      </c>
      <c r="AK95" s="55">
        <f t="shared" ca="1" si="41"/>
        <v>2.4056314400513088E-4</v>
      </c>
      <c r="AL95" s="55">
        <f t="shared" ca="1" si="57"/>
        <v>2.004499121125001E-3</v>
      </c>
      <c r="AM95" s="55">
        <f t="shared" ca="1" si="57"/>
        <v>8.3512724761054882E-3</v>
      </c>
      <c r="AN95" s="55">
        <f t="shared" ca="1" si="57"/>
        <v>2.3195737107969485E-2</v>
      </c>
      <c r="AO95" s="55">
        <f t="shared" ca="1" si="57"/>
        <v>4.8319781942344958E-2</v>
      </c>
      <c r="AP95" s="55">
        <f t="shared" ca="1" si="57"/>
        <v>8.0525186712987348E-2</v>
      </c>
      <c r="AQ95" s="55">
        <f t="shared" ca="1" si="75"/>
        <v>0.17356125183316867</v>
      </c>
      <c r="AR95" s="55">
        <f t="shared" ca="1" si="75"/>
        <v>0.18555759539549069</v>
      </c>
      <c r="AS95" s="55">
        <f t="shared" ca="1" si="75"/>
        <v>0.15870648935882595</v>
      </c>
      <c r="AT95" s="55">
        <f t="shared" ca="1" si="75"/>
        <v>0.10180565383588405</v>
      </c>
      <c r="AU95" s="55">
        <f t="shared" ca="1" si="75"/>
        <v>4.3536934941240606E-2</v>
      </c>
      <c r="AV95" s="55">
        <f t="shared" ca="1" si="75"/>
        <v>9.3092310331477461E-3</v>
      </c>
      <c r="AW95" s="55">
        <f t="shared" ca="1" si="62"/>
        <v>8.0525186712987348E-2</v>
      </c>
      <c r="AX95" s="55">
        <f t="shared" ca="1" si="63"/>
        <v>0.18555759539549069</v>
      </c>
      <c r="AY95" s="54">
        <f t="shared" ca="1" si="64"/>
        <v>5</v>
      </c>
      <c r="AZ95" s="54">
        <f t="shared" ca="1" si="65"/>
        <v>4</v>
      </c>
      <c r="BA95" s="54" t="str">
        <f t="shared" si="66"/>
        <v>HyderabadGoa</v>
      </c>
      <c r="BB95" s="54">
        <f t="shared" ca="1" si="67"/>
        <v>3</v>
      </c>
      <c r="BC95" s="54">
        <f t="shared" ca="1" si="68"/>
        <v>0</v>
      </c>
      <c r="BD95" s="54">
        <f t="shared" ca="1" si="69"/>
        <v>1</v>
      </c>
      <c r="BE95" s="54" t="str">
        <f t="shared" ca="1" si="70"/>
        <v>HW</v>
      </c>
      <c r="BF95" s="55" t="str">
        <f t="shared" ca="1" si="71"/>
        <v>AL</v>
      </c>
      <c r="BG95" s="86">
        <f t="shared" ca="1" si="72"/>
        <v>5.9363957570397308E-2</v>
      </c>
      <c r="BH95" s="86">
        <f t="shared" ca="1" si="73"/>
        <v>2.756318472226113E-2</v>
      </c>
      <c r="BI95" s="87">
        <f t="shared" ca="1" si="74"/>
        <v>0.91307285770734159</v>
      </c>
    </row>
    <row r="96" spans="1:61" x14ac:dyDescent="0.2">
      <c r="A96" s="52">
        <f>'ISL 8'!B97</f>
        <v>44610</v>
      </c>
      <c r="B96" s="54">
        <f>'ISL 8'!C97</f>
        <v>94</v>
      </c>
      <c r="C96" s="54" t="str">
        <f>'ISL 8'!D97</f>
        <v>Chennaiyin</v>
      </c>
      <c r="D96" s="54">
        <f ca="1">IF('ISL 8'!E97&lt;&gt;"",'ISL 8'!E97,INDEX($AK$2:$AP$2,,MATCH($AW96,AK96:AP96,0)))</f>
        <v>4</v>
      </c>
      <c r="E96" s="54" t="str">
        <f>'ISL 8'!G97</f>
        <v>Jamshedpur</v>
      </c>
      <c r="F96" s="54">
        <f ca="1">IF('ISL 8'!F97&lt;&gt;"",'ISL 8'!F97,INDEX($AQ$2:$AV$2,,MATCH($AX96,AQ96:AV96,0)))</f>
        <v>5</v>
      </c>
      <c r="G96" s="55">
        <f>VLOOKUP($C96,'ISL Total'!$D$5:$AH$15,25,0)</f>
        <v>1.6923160070404248</v>
      </c>
      <c r="H96" s="55">
        <f>VLOOKUP($C96,'ISL Total'!$D$5:$AH$15,28,0)</f>
        <v>2.1914366960571012</v>
      </c>
      <c r="I96" s="55">
        <f>VLOOKUP($E96,'ISL Total'!$D$5:$AH$15,26,0)</f>
        <v>2.1921504637581588</v>
      </c>
      <c r="J96" s="55">
        <f>VLOOKUP(E96,'ISL Total'!$D$5:$AH$15,29,0)</f>
        <v>1.9716600419922359</v>
      </c>
      <c r="K96" s="55">
        <f t="shared" si="58"/>
        <v>4.7774770625330687</v>
      </c>
      <c r="L96" s="55">
        <f t="shared" si="59"/>
        <v>6.4352948510441523</v>
      </c>
      <c r="M96" s="55">
        <f t="shared" ca="1" si="50"/>
        <v>4.3972655046034443</v>
      </c>
      <c r="N96" s="55">
        <v>5.6014566514814383</v>
      </c>
      <c r="O96" s="55">
        <v>4.7298055753420281</v>
      </c>
      <c r="P96" s="55">
        <v>4.8360160702843391</v>
      </c>
      <c r="Q96" s="55">
        <v>5.034207751968224</v>
      </c>
      <c r="R96" s="55">
        <v>4.7094557413433078</v>
      </c>
      <c r="S96" s="55">
        <v>5.7447947664388765</v>
      </c>
      <c r="T96" s="55">
        <v>4.2467514633286765</v>
      </c>
      <c r="U96" s="55">
        <v>4.7968501707031308</v>
      </c>
      <c r="V96" s="55">
        <v>4.5892867625165783</v>
      </c>
      <c r="W96" s="55">
        <v>4.8357622099123363</v>
      </c>
      <c r="X96" s="55">
        <f t="shared" ca="1" si="60"/>
        <v>4.865604787992944</v>
      </c>
      <c r="Y96" s="55">
        <f t="shared" ca="1" si="51"/>
        <v>6.4328053581328311</v>
      </c>
      <c r="Z96" s="55">
        <v>6.1060394421217703</v>
      </c>
      <c r="AA96" s="55">
        <v>6.2174586387111344</v>
      </c>
      <c r="AB96" s="55">
        <v>6.2719051548499261</v>
      </c>
      <c r="AC96" s="55">
        <v>6.183394177786953</v>
      </c>
      <c r="AD96" s="55">
        <v>6.5670794637996917</v>
      </c>
      <c r="AE96" s="55">
        <v>6.2475341094435004</v>
      </c>
      <c r="AF96" s="55">
        <v>6.7366227118040243</v>
      </c>
      <c r="AG96" s="55">
        <v>6.6866644630277081</v>
      </c>
      <c r="AH96" s="55">
        <v>6.0144997950728323</v>
      </c>
      <c r="AI96" s="55">
        <v>6.3875885203944929</v>
      </c>
      <c r="AJ96" s="55">
        <f t="shared" ca="1" si="61"/>
        <v>6.3501447122858963</v>
      </c>
      <c r="AK96" s="55">
        <f t="shared" ca="1" si="41"/>
        <v>7.7071655804567219E-3</v>
      </c>
      <c r="AL96" s="55">
        <f t="shared" ca="1" si="57"/>
        <v>3.7500021750124644E-2</v>
      </c>
      <c r="AM96" s="55">
        <f t="shared" ca="1" si="57"/>
        <v>9.1230142688623006E-2</v>
      </c>
      <c r="AN96" s="55">
        <f t="shared" ca="1" si="57"/>
        <v>0.14796327302501452</v>
      </c>
      <c r="AO96" s="55">
        <f t="shared" ca="1" si="57"/>
        <v>0.17998270241940451</v>
      </c>
      <c r="AP96" s="55">
        <f t="shared" ca="1" si="57"/>
        <v>0.17514493972955272</v>
      </c>
      <c r="AQ96" s="55">
        <f t="shared" ca="1" si="75"/>
        <v>0.15028099382218899</v>
      </c>
      <c r="AR96" s="55">
        <f t="shared" ca="1" si="75"/>
        <v>0.11832879456387346</v>
      </c>
      <c r="AS96" s="55">
        <f t="shared" ca="1" si="75"/>
        <v>7.4536124718504557E-2</v>
      </c>
      <c r="AT96" s="55">
        <f t="shared" ca="1" si="75"/>
        <v>3.5213114706329283E-2</v>
      </c>
      <c r="AU96" s="55">
        <f t="shared" ca="1" si="75"/>
        <v>1.1090492044441432E-2</v>
      </c>
      <c r="AV96" s="55">
        <f t="shared" ca="1" si="75"/>
        <v>1.7464943787791455E-3</v>
      </c>
      <c r="AW96" s="55">
        <f t="shared" ca="1" si="62"/>
        <v>0.17998270241940451</v>
      </c>
      <c r="AX96" s="55">
        <f t="shared" ca="1" si="63"/>
        <v>0.15028099382218899</v>
      </c>
      <c r="AY96" s="54">
        <f t="shared" ca="1" si="64"/>
        <v>4</v>
      </c>
      <c r="AZ96" s="54">
        <f t="shared" ca="1" si="65"/>
        <v>5</v>
      </c>
      <c r="BA96" s="54" t="str">
        <f t="shared" si="66"/>
        <v>ChennaiyinJamshedpur</v>
      </c>
      <c r="BB96" s="54">
        <f t="shared" ca="1" si="67"/>
        <v>0</v>
      </c>
      <c r="BC96" s="54">
        <f t="shared" ca="1" si="68"/>
        <v>3</v>
      </c>
      <c r="BD96" s="54">
        <f t="shared" ca="1" si="69"/>
        <v>1</v>
      </c>
      <c r="BE96" s="54" t="str">
        <f t="shared" ca="1" si="70"/>
        <v>HL</v>
      </c>
      <c r="BF96" s="55" t="str">
        <f t="shared" ca="1" si="71"/>
        <v>AW</v>
      </c>
      <c r="BG96" s="86">
        <f t="shared" ca="1" si="72"/>
        <v>7.2604710850103518E-2</v>
      </c>
      <c r="BH96" s="86">
        <f t="shared" ca="1" si="73"/>
        <v>6.2288552490489674E-2</v>
      </c>
      <c r="BI96" s="87">
        <f t="shared" ca="1" si="74"/>
        <v>0.86510673665940674</v>
      </c>
    </row>
    <row r="97" spans="1:61" x14ac:dyDescent="0.2">
      <c r="A97" s="52">
        <f>'ISL 8'!B98</f>
        <v>44611</v>
      </c>
      <c r="B97" s="54">
        <f>'ISL 8'!C98</f>
        <v>95</v>
      </c>
      <c r="C97" s="54" t="str">
        <f>'ISL 8'!D98</f>
        <v>Bengaluru</v>
      </c>
      <c r="D97" s="54">
        <f ca="1">IF('ISL 8'!E98&lt;&gt;"",'ISL 8'!E98,INDEX($AK$2:$AP$2,,MATCH($AW97,AK97:AP97,0)))</f>
        <v>4</v>
      </c>
      <c r="E97" s="54" t="str">
        <f>'ISL 8'!G98</f>
        <v>Odisha</v>
      </c>
      <c r="F97" s="54">
        <f ca="1">IF('ISL 8'!F98&lt;&gt;"",'ISL 8'!F98,INDEX($AQ$2:$AV$2,,MATCH($AX97,AQ97:AV97,0)))</f>
        <v>1</v>
      </c>
      <c r="G97" s="55">
        <f>VLOOKUP($C97,'ISL Total'!$D$5:$AH$15,25,0)</f>
        <v>2.2973875558619734</v>
      </c>
      <c r="H97" s="55">
        <f>VLOOKUP($C97,'ISL Total'!$D$5:$AH$15,28,0)</f>
        <v>1.7201477155616627</v>
      </c>
      <c r="I97" s="55">
        <f>VLOOKUP($E97,'ISL Total'!$D$5:$AH$15,26,0)</f>
        <v>0.79788732394366213</v>
      </c>
      <c r="J97" s="55">
        <f>VLOOKUP(E97,'ISL Total'!$D$5:$AH$15,29,0)</f>
        <v>1.3928240740740743</v>
      </c>
      <c r="K97" s="55">
        <f t="shared" si="58"/>
        <v>4.5815838819667007</v>
      </c>
      <c r="L97" s="55">
        <f t="shared" si="59"/>
        <v>1.8385543350198312</v>
      </c>
      <c r="M97" s="55">
        <f t="shared" ca="1" si="50"/>
        <v>4.7736771219769878</v>
      </c>
      <c r="N97" s="55">
        <v>4.5940309836745241</v>
      </c>
      <c r="O97" s="55">
        <v>4.4822730435337927</v>
      </c>
      <c r="P97" s="55">
        <v>4.7530884668902216</v>
      </c>
      <c r="Q97" s="55">
        <v>4.7873696259110483</v>
      </c>
      <c r="R97" s="55">
        <v>4.9712365948175776</v>
      </c>
      <c r="S97" s="55">
        <v>4.297630234709545</v>
      </c>
      <c r="T97" s="55">
        <v>5.2866485810682722</v>
      </c>
      <c r="U97" s="55">
        <v>3.8617010910513523</v>
      </c>
      <c r="V97" s="55">
        <v>4.873620426694993</v>
      </c>
      <c r="W97" s="55">
        <v>4.9360264488453875</v>
      </c>
      <c r="X97" s="55">
        <f t="shared" ca="1" si="60"/>
        <v>4.6924820562885179</v>
      </c>
      <c r="Y97" s="55">
        <f t="shared" ca="1" si="51"/>
        <v>1.594453673924954</v>
      </c>
      <c r="Z97" s="55">
        <v>2.018928060915437</v>
      </c>
      <c r="AA97" s="55">
        <v>1.5770885774728598</v>
      </c>
      <c r="AB97" s="55">
        <v>2.1574263201099724</v>
      </c>
      <c r="AC97" s="55">
        <v>2.136700328736421</v>
      </c>
      <c r="AD97" s="55">
        <v>1.8608189419835461</v>
      </c>
      <c r="AE97" s="55">
        <v>1.6062355542030715</v>
      </c>
      <c r="AF97" s="55">
        <v>1.9154406474657537</v>
      </c>
      <c r="AG97" s="55">
        <v>1.7632041221852328</v>
      </c>
      <c r="AH97" s="55">
        <v>1.7788259518710274</v>
      </c>
      <c r="AI97" s="55">
        <v>1.9681216690814827</v>
      </c>
      <c r="AJ97" s="55">
        <f t="shared" ca="1" si="61"/>
        <v>1.8524767134499782</v>
      </c>
      <c r="AK97" s="55">
        <f t="shared" ca="1" si="41"/>
        <v>9.1639125584672999E-3</v>
      </c>
      <c r="AL97" s="55">
        <f t="shared" ca="1" si="57"/>
        <v>4.3001495246004807E-2</v>
      </c>
      <c r="AM97" s="55">
        <f t="shared" ca="1" si="57"/>
        <v>0.10089187241772681</v>
      </c>
      <c r="AN97" s="55">
        <f t="shared" ca="1" si="57"/>
        <v>0.15781110031517784</v>
      </c>
      <c r="AO97" s="55">
        <f t="shared" ca="1" si="57"/>
        <v>0.18513143912802979</v>
      </c>
      <c r="AP97" s="55">
        <f t="shared" ca="1" si="57"/>
        <v>0.17374519123262994</v>
      </c>
      <c r="AQ97" s="55">
        <f t="shared" ca="1" si="75"/>
        <v>2.8514261385524896E-2</v>
      </c>
      <c r="AR97" s="55">
        <f t="shared" ca="1" si="75"/>
        <v>7.6962536636752343E-2</v>
      </c>
      <c r="AS97" s="55">
        <f t="shared" ca="1" si="75"/>
        <v>0.16618300479128922</v>
      </c>
      <c r="AT97" s="55">
        <f t="shared" ca="1" si="75"/>
        <v>0.2691256579659726</v>
      </c>
      <c r="AU97" s="55">
        <f t="shared" ca="1" si="75"/>
        <v>0.2905576691053392</v>
      </c>
      <c r="AV97" s="55">
        <f t="shared" ca="1" si="75"/>
        <v>0.15684821676609165</v>
      </c>
      <c r="AW97" s="55">
        <f t="shared" ca="1" si="62"/>
        <v>0.18513143912802979</v>
      </c>
      <c r="AX97" s="55">
        <f t="shared" ca="1" si="63"/>
        <v>0.2905576691053392</v>
      </c>
      <c r="AY97" s="54">
        <f t="shared" ca="1" si="64"/>
        <v>4</v>
      </c>
      <c r="AZ97" s="54">
        <f t="shared" ca="1" si="65"/>
        <v>1</v>
      </c>
      <c r="BA97" s="54" t="str">
        <f t="shared" si="66"/>
        <v>BengaluruOdisha</v>
      </c>
      <c r="BB97" s="54">
        <f t="shared" ca="1" si="67"/>
        <v>3</v>
      </c>
      <c r="BC97" s="54">
        <f t="shared" ca="1" si="68"/>
        <v>0</v>
      </c>
      <c r="BD97" s="54">
        <f t="shared" ca="1" si="69"/>
        <v>3</v>
      </c>
      <c r="BE97" s="54" t="str">
        <f t="shared" ca="1" si="70"/>
        <v>HW</v>
      </c>
      <c r="BF97" s="55" t="str">
        <f t="shared" ca="1" si="71"/>
        <v>AL</v>
      </c>
      <c r="BG97" s="86">
        <f t="shared" ca="1" si="72"/>
        <v>0.49511845017530226</v>
      </c>
      <c r="BH97" s="86">
        <f t="shared" ca="1" si="73"/>
        <v>8.6512272921545882E-2</v>
      </c>
      <c r="BI97" s="87">
        <f t="shared" ca="1" si="74"/>
        <v>0.41836927690315184</v>
      </c>
    </row>
    <row r="98" spans="1:61" x14ac:dyDescent="0.2">
      <c r="A98" s="52">
        <f>'ISL 8'!B99</f>
        <v>44612</v>
      </c>
      <c r="B98" s="54">
        <f>'ISL 8'!C99</f>
        <v>96</v>
      </c>
      <c r="C98" s="54" t="str">
        <f>'ISL 8'!D99</f>
        <v>Mumbai City</v>
      </c>
      <c r="D98" s="54">
        <f ca="1">IF('ISL 8'!E99&lt;&gt;"",'ISL 8'!E99,INDEX($AK$2:$AP$2,,MATCH($AW98,AK98:AP98,0)))</f>
        <v>5</v>
      </c>
      <c r="E98" s="54" t="str">
        <f>'ISL 8'!G99</f>
        <v>East Bengal</v>
      </c>
      <c r="F98" s="54">
        <f ca="1">IF('ISL 8'!F99&lt;&gt;"",'ISL 8'!F99,INDEX($AQ$2:$AV$2,,MATCH($AX98,AQ98:AV98,0)))</f>
        <v>5</v>
      </c>
      <c r="G98" s="55">
        <f>VLOOKUP($C98,'ISL Total'!$D$5:$AH$15,25,0)</f>
        <v>1.711666848062984</v>
      </c>
      <c r="H98" s="55">
        <f>VLOOKUP($C98,'ISL Total'!$D$5:$AH$15,28,0)</f>
        <v>2.0663350700408412</v>
      </c>
      <c r="I98" s="55">
        <f>VLOOKUP($E98,'ISL Total'!$D$5:$AH$15,26,0)</f>
        <v>2.2664839306843771</v>
      </c>
      <c r="J98" s="55">
        <f>VLOOKUP(E98,'ISL Total'!$D$5:$AH$15,29,0)</f>
        <v>2.3205343227457229</v>
      </c>
      <c r="K98" s="55">
        <f t="shared" si="58"/>
        <v>5.6871194343585172</v>
      </c>
      <c r="L98" s="55">
        <f t="shared" si="59"/>
        <v>6.2736827244116622</v>
      </c>
      <c r="M98" s="55">
        <f t="shared" ca="1" si="50"/>
        <v>5.396241576355556</v>
      </c>
      <c r="N98" s="55">
        <v>5.5679995513447693</v>
      </c>
      <c r="O98" s="55">
        <v>5.6362496814980343</v>
      </c>
      <c r="P98" s="55">
        <v>6.0533414915790731</v>
      </c>
      <c r="Q98" s="55">
        <v>5.869584657541127</v>
      </c>
      <c r="R98" s="55">
        <v>5.4611652505038437</v>
      </c>
      <c r="S98" s="55">
        <v>5.5912947591420687</v>
      </c>
      <c r="T98" s="55">
        <v>5.6066795789760073</v>
      </c>
      <c r="U98" s="55">
        <v>5.9489926429756297</v>
      </c>
      <c r="V98" s="55">
        <v>5.5511476042071486</v>
      </c>
      <c r="W98" s="55">
        <v>5.429596920898379</v>
      </c>
      <c r="X98" s="55">
        <f t="shared" ca="1" si="60"/>
        <v>5.6465721559110582</v>
      </c>
      <c r="Y98" s="55">
        <f t="shared" ca="1" si="51"/>
        <v>6.4157001397729871</v>
      </c>
      <c r="Z98" s="55">
        <v>6.5806961433429496</v>
      </c>
      <c r="AA98" s="55">
        <v>6.4638069536660536</v>
      </c>
      <c r="AB98" s="55">
        <v>6.5955893491331157</v>
      </c>
      <c r="AC98" s="55">
        <v>6.4244181401225413</v>
      </c>
      <c r="AD98" s="55">
        <v>5.9221839704628616</v>
      </c>
      <c r="AE98" s="55">
        <v>6.5260842864541946</v>
      </c>
      <c r="AF98" s="55">
        <v>5.7895708768194023</v>
      </c>
      <c r="AG98" s="55">
        <v>6.2849619505487384</v>
      </c>
      <c r="AH98" s="55">
        <v>6.1284406761621213</v>
      </c>
      <c r="AI98" s="55">
        <v>6.4395088511851242</v>
      </c>
      <c r="AJ98" s="55">
        <f t="shared" ca="1" si="61"/>
        <v>6.3246328488790997</v>
      </c>
      <c r="AK98" s="55">
        <f t="shared" ca="1" si="41"/>
        <v>3.5295949632433311E-3</v>
      </c>
      <c r="AL98" s="55">
        <f t="shared" ca="1" si="57"/>
        <v>1.9930112641093706E-2</v>
      </c>
      <c r="AM98" s="55">
        <f t="shared" ca="1" si="57"/>
        <v>5.6268409551685383E-2</v>
      </c>
      <c r="AN98" s="55">
        <f t="shared" ca="1" si="57"/>
        <v>0.1059078782106488</v>
      </c>
      <c r="AO98" s="55">
        <f t="shared" ca="1" si="57"/>
        <v>0.14950411904896729</v>
      </c>
      <c r="AP98" s="55">
        <f t="shared" ca="1" si="57"/>
        <v>0.16883715916318212</v>
      </c>
      <c r="AQ98" s="55">
        <f t="shared" ca="1" si="75"/>
        <v>0.15109225551446157</v>
      </c>
      <c r="AR98" s="55">
        <f t="shared" ca="1" si="75"/>
        <v>0.11944745183211648</v>
      </c>
      <c r="AS98" s="55">
        <f t="shared" ca="1" si="75"/>
        <v>7.5544275651217199E-2</v>
      </c>
      <c r="AT98" s="55">
        <f t="shared" ca="1" si="75"/>
        <v>3.5833357029383492E-2</v>
      </c>
      <c r="AU98" s="55">
        <f t="shared" ca="1" si="75"/>
        <v>1.1331363538591542E-2</v>
      </c>
      <c r="AV98" s="55">
        <f t="shared" ca="1" si="75"/>
        <v>1.791623926533502E-3</v>
      </c>
      <c r="AW98" s="55">
        <f t="shared" ca="1" si="62"/>
        <v>0.16883715916318212</v>
      </c>
      <c r="AX98" s="55">
        <f t="shared" ca="1" si="63"/>
        <v>0.15109225551446157</v>
      </c>
      <c r="AY98" s="54">
        <f t="shared" ca="1" si="64"/>
        <v>5</v>
      </c>
      <c r="AZ98" s="54">
        <f t="shared" ca="1" si="65"/>
        <v>5</v>
      </c>
      <c r="BA98" s="54" t="str">
        <f t="shared" si="66"/>
        <v>Mumbai CityEast Bengal</v>
      </c>
      <c r="BB98" s="54">
        <f t="shared" ca="1" si="67"/>
        <v>1</v>
      </c>
      <c r="BC98" s="54">
        <f t="shared" ca="1" si="68"/>
        <v>1</v>
      </c>
      <c r="BD98" s="54">
        <f t="shared" ca="1" si="69"/>
        <v>0</v>
      </c>
      <c r="BE98" s="54" t="str">
        <f t="shared" ca="1" si="70"/>
        <v>HD</v>
      </c>
      <c r="BF98" s="55" t="str">
        <f t="shared" ca="1" si="71"/>
        <v>AD</v>
      </c>
      <c r="BG98" s="86">
        <f t="shared" ca="1" si="72"/>
        <v>6.5759834462269753E-2</v>
      </c>
      <c r="BH98" s="86">
        <f t="shared" ca="1" si="73"/>
        <v>5.3617052264034196E-2</v>
      </c>
      <c r="BI98" s="87">
        <f t="shared" ca="1" si="74"/>
        <v>0.88062311327369602</v>
      </c>
    </row>
    <row r="99" spans="1:61" x14ac:dyDescent="0.2">
      <c r="A99" s="52">
        <f>'ISL 8'!B100</f>
        <v>44613</v>
      </c>
      <c r="B99" s="54">
        <f>'ISL 8'!C100</f>
        <v>97</v>
      </c>
      <c r="C99" s="54" t="str">
        <f>'ISL 8'!D100</f>
        <v>Hyderabad</v>
      </c>
      <c r="D99" s="54">
        <f ca="1">IF('ISL 8'!E100&lt;&gt;"",'ISL 8'!E100,INDEX($AK$2:$AP$2,,MATCH($AW99,AK99:AP99,0)))</f>
        <v>5</v>
      </c>
      <c r="E99" s="54" t="str">
        <f>'ISL 8'!G100</f>
        <v>Kerala Blasters</v>
      </c>
      <c r="F99" s="54">
        <f ca="1">IF('ISL 8'!F100&lt;&gt;"",'ISL 8'!F100,INDEX($AQ$2:$AV$2,,MATCH($AX99,AQ99:AV99,0)))</f>
        <v>4</v>
      </c>
      <c r="G99" s="55">
        <f>VLOOKUP($C99,'ISL Total'!$D$5:$AH$15,25,0)</f>
        <v>2.6008540597170162</v>
      </c>
      <c r="H99" s="55">
        <f>VLOOKUP($C99,'ISL Total'!$D$5:$AH$15,28,0)</f>
        <v>1.7011584411618765</v>
      </c>
      <c r="I99" s="55">
        <f>VLOOKUP($E99,'ISL Total'!$D$5:$AH$15,26,0)</f>
        <v>2.1526909424023817</v>
      </c>
      <c r="J99" s="55">
        <f>VLOOKUP(E99,'ISL Total'!$D$5:$AH$15,29,0)</f>
        <v>1.99017477973497</v>
      </c>
      <c r="K99" s="55">
        <f t="shared" si="58"/>
        <v>7.4112645369427081</v>
      </c>
      <c r="L99" s="55">
        <f t="shared" si="59"/>
        <v>4.9056392573978247</v>
      </c>
      <c r="M99" s="55">
        <f t="shared" ca="1" si="50"/>
        <v>7.6684602304201794</v>
      </c>
      <c r="N99" s="55">
        <v>6.8814270245971318</v>
      </c>
      <c r="O99" s="55">
        <v>7.5781427872552323</v>
      </c>
      <c r="P99" s="55">
        <v>7.3374331117152733</v>
      </c>
      <c r="Q99" s="55">
        <v>7.2456270605648907</v>
      </c>
      <c r="R99" s="55">
        <v>7.1276886985715135</v>
      </c>
      <c r="S99" s="55">
        <v>6.7075436624487077</v>
      </c>
      <c r="T99" s="55">
        <v>6.4380424729528203</v>
      </c>
      <c r="U99" s="55">
        <v>7.68516021106631</v>
      </c>
      <c r="V99" s="55">
        <v>7.0220683296943252</v>
      </c>
      <c r="W99" s="55">
        <v>7.3243316120920836</v>
      </c>
      <c r="X99" s="55">
        <f t="shared" ca="1" si="60"/>
        <v>7.1832659273980406</v>
      </c>
      <c r="Y99" s="55">
        <f t="shared" ca="1" si="51"/>
        <v>5.2638789990111752</v>
      </c>
      <c r="Z99" s="55">
        <v>5.3324119907236867</v>
      </c>
      <c r="AA99" s="55">
        <v>4.5237442982516782</v>
      </c>
      <c r="AB99" s="55">
        <v>4.8758179070581233</v>
      </c>
      <c r="AC99" s="55">
        <v>4.7782941399989829</v>
      </c>
      <c r="AD99" s="55">
        <v>4.7706791499360071</v>
      </c>
      <c r="AE99" s="55">
        <v>4.8707241294946559</v>
      </c>
      <c r="AF99" s="55">
        <v>4.7770661063329189</v>
      </c>
      <c r="AG99" s="55">
        <v>4.7657655480538237</v>
      </c>
      <c r="AH99" s="55">
        <v>4.7473543716472459</v>
      </c>
      <c r="AI99" s="55">
        <v>4.8704546373047846</v>
      </c>
      <c r="AJ99" s="55">
        <f t="shared" ca="1" si="61"/>
        <v>4.8705628434375532</v>
      </c>
      <c r="AK99" s="55">
        <f t="shared" ca="1" si="41"/>
        <v>7.5918434794032302E-4</v>
      </c>
      <c r="AL99" s="55">
        <f t="shared" ca="1" si="57"/>
        <v>5.4534230591736198E-3</v>
      </c>
      <c r="AM99" s="55">
        <f t="shared" ca="1" si="57"/>
        <v>1.9586694024324332E-2</v>
      </c>
      <c r="AN99" s="55">
        <f t="shared" ca="1" si="57"/>
        <v>4.6898810605099921E-2</v>
      </c>
      <c r="AO99" s="55">
        <f t="shared" ca="1" si="57"/>
        <v>8.4221657063777045E-2</v>
      </c>
      <c r="AP99" s="55">
        <f t="shared" ca="1" si="57"/>
        <v>0.12099731190704641</v>
      </c>
      <c r="AQ99" s="55">
        <f t="shared" ca="1" si="75"/>
        <v>0.17516847285473353</v>
      </c>
      <c r="AR99" s="55">
        <f t="shared" ca="1" si="75"/>
        <v>0.17982364511603641</v>
      </c>
      <c r="AS99" s="55">
        <f t="shared" ca="1" si="75"/>
        <v>0.14768202435439284</v>
      </c>
      <c r="AT99" s="55">
        <f t="shared" ca="1" si="75"/>
        <v>9.096403994871459E-2</v>
      </c>
      <c r="AU99" s="55">
        <f t="shared" ca="1" si="75"/>
        <v>3.7352578284161449E-2</v>
      </c>
      <c r="AV99" s="55">
        <f t="shared" ca="1" si="75"/>
        <v>7.669047599804437E-3</v>
      </c>
      <c r="AW99" s="55">
        <f t="shared" ca="1" si="62"/>
        <v>0.12099731190704641</v>
      </c>
      <c r="AX99" s="55">
        <f t="shared" ca="1" si="63"/>
        <v>0.17982364511603641</v>
      </c>
      <c r="AY99" s="54">
        <f t="shared" ca="1" si="64"/>
        <v>5</v>
      </c>
      <c r="AZ99" s="54">
        <f t="shared" ca="1" si="65"/>
        <v>4</v>
      </c>
      <c r="BA99" s="54" t="str">
        <f t="shared" si="66"/>
        <v>HyderabadKerala Blasters</v>
      </c>
      <c r="BB99" s="54">
        <f t="shared" ca="1" si="67"/>
        <v>3</v>
      </c>
      <c r="BC99" s="54">
        <f t="shared" ca="1" si="68"/>
        <v>0</v>
      </c>
      <c r="BD99" s="54">
        <f t="shared" ca="1" si="69"/>
        <v>1</v>
      </c>
      <c r="BE99" s="54" t="str">
        <f t="shared" ca="1" si="70"/>
        <v>HW</v>
      </c>
      <c r="BF99" s="55" t="str">
        <f t="shared" ca="1" si="71"/>
        <v>AL</v>
      </c>
      <c r="BG99" s="86">
        <f t="shared" ca="1" si="72"/>
        <v>8.727338194547804E-2</v>
      </c>
      <c r="BH99" s="86">
        <f t="shared" ca="1" si="73"/>
        <v>4.5257277457508474E-2</v>
      </c>
      <c r="BI99" s="87">
        <f t="shared" ca="1" si="74"/>
        <v>0.86746934059701353</v>
      </c>
    </row>
    <row r="100" spans="1:61" x14ac:dyDescent="0.2">
      <c r="A100" s="52">
        <f>'ISL 8'!B101</f>
        <v>44614</v>
      </c>
      <c r="B100" s="54">
        <f>'ISL 8'!C101</f>
        <v>98</v>
      </c>
      <c r="C100" s="54" t="str">
        <f>'ISL 8'!D101</f>
        <v>Odisha</v>
      </c>
      <c r="D100" s="54">
        <f ca="1">IF('ISL 8'!E101&lt;&gt;"",'ISL 8'!E101,INDEX($AK$2:$AP$2,,MATCH($AW100,AK100:AP100,0)))</f>
        <v>3</v>
      </c>
      <c r="E100" s="54" t="str">
        <f>'ISL 8'!G101</f>
        <v>ATK-MB</v>
      </c>
      <c r="F100" s="54">
        <f ca="1">IF('ISL 8'!F101&lt;&gt;"",'ISL 8'!F101,INDEX($AQ$2:$AV$2,,MATCH($AX100,AQ100:AV100,0)))</f>
        <v>5</v>
      </c>
      <c r="G100" s="55">
        <f>VLOOKUP($C100,'ISL Total'!$D$5:$AH$15,25,0)</f>
        <v>1.4571180555555554</v>
      </c>
      <c r="H100" s="55">
        <f>VLOOKUP($C100,'ISL Total'!$D$5:$AH$15,28,0)</f>
        <v>1.7565140845070424</v>
      </c>
      <c r="I100" s="55">
        <f>VLOOKUP($E100,'ISL Total'!$D$5:$AH$15,26,0)</f>
        <v>2.3848410244665827</v>
      </c>
      <c r="J100" s="55">
        <f>VLOOKUP(E100,'ISL Total'!$D$5:$AH$15,29,0)</f>
        <v>1.8807593937667644</v>
      </c>
      <c r="K100" s="55">
        <f t="shared" si="58"/>
        <v>3.9238562855341179</v>
      </c>
      <c r="L100" s="55">
        <f t="shared" si="59"/>
        <v>5.6115163297197599</v>
      </c>
      <c r="M100" s="55">
        <f t="shared" ca="1" si="50"/>
        <v>4.2344640706646981</v>
      </c>
      <c r="N100" s="55">
        <v>3.2885882385023426</v>
      </c>
      <c r="O100" s="55">
        <v>3.9481113134467991</v>
      </c>
      <c r="P100" s="55">
        <v>3.62144488879022</v>
      </c>
      <c r="Q100" s="55">
        <v>3.4605708515196731</v>
      </c>
      <c r="R100" s="55">
        <v>3.5368741388131171</v>
      </c>
      <c r="S100" s="55">
        <v>3.6958137176800583</v>
      </c>
      <c r="T100" s="55">
        <v>3.8900854574932144</v>
      </c>
      <c r="U100" s="55">
        <v>4.1657460759403513</v>
      </c>
      <c r="V100" s="55">
        <v>3.8402153660572078</v>
      </c>
      <c r="W100" s="55">
        <v>3.8152064415590048</v>
      </c>
      <c r="X100" s="55">
        <f t="shared" ca="1" si="60"/>
        <v>3.7724655054969718</v>
      </c>
      <c r="Y100" s="55">
        <f t="shared" ca="1" si="51"/>
        <v>5.5682338281666652</v>
      </c>
      <c r="Z100" s="55">
        <v>5.7721363199720468</v>
      </c>
      <c r="AA100" s="55">
        <v>5.6350671575788533</v>
      </c>
      <c r="AB100" s="55">
        <v>5.2490649077766571</v>
      </c>
      <c r="AC100" s="55">
        <v>5.9063797503296147</v>
      </c>
      <c r="AD100" s="55">
        <v>5.7318191275500165</v>
      </c>
      <c r="AE100" s="55">
        <v>5.4169748560242619</v>
      </c>
      <c r="AF100" s="55">
        <v>5.8829109962602146</v>
      </c>
      <c r="AG100" s="55">
        <v>5.6411916085341494</v>
      </c>
      <c r="AH100" s="55">
        <v>5.9319916071986931</v>
      </c>
      <c r="AI100" s="55">
        <v>5.0857315472635181</v>
      </c>
      <c r="AJ100" s="55">
        <f t="shared" ca="1" si="61"/>
        <v>5.6201365187867909</v>
      </c>
      <c r="AK100" s="55">
        <f t="shared" ca="1" si="41"/>
        <v>2.2995298304417801E-2</v>
      </c>
      <c r="AL100" s="55">
        <f t="shared" ca="1" si="41"/>
        <v>8.6748969642029161E-2</v>
      </c>
      <c r="AM100" s="55">
        <f t="shared" ca="1" si="41"/>
        <v>0.16362874780597947</v>
      </c>
      <c r="AN100" s="55">
        <f t="shared" ca="1" si="41"/>
        <v>0.20576126893524035</v>
      </c>
      <c r="AO100" s="55">
        <f t="shared" ca="1" si="41"/>
        <v>0.19405682235636998</v>
      </c>
      <c r="AP100" s="55">
        <f t="shared" ca="1" si="41"/>
        <v>0.14641453368915186</v>
      </c>
      <c r="AQ100" s="55">
        <f t="shared" ca="1" si="75"/>
        <v>0.16933970623724148</v>
      </c>
      <c r="AR100" s="55">
        <f t="shared" ca="1" si="75"/>
        <v>0.15065444199725292</v>
      </c>
      <c r="AS100" s="55">
        <f t="shared" ca="1" si="75"/>
        <v>0.1072247561913492</v>
      </c>
      <c r="AT100" s="55">
        <f t="shared" ca="1" si="75"/>
        <v>5.7236023982472024E-2</v>
      </c>
      <c r="AU100" s="55">
        <f t="shared" ca="1" si="75"/>
        <v>2.0368197032632745E-2</v>
      </c>
      <c r="AV100" s="55">
        <f t="shared" ca="1" si="75"/>
        <v>3.6241463111343765E-3</v>
      </c>
      <c r="AW100" s="55">
        <f t="shared" ca="1" si="62"/>
        <v>0.20576126893524035</v>
      </c>
      <c r="AX100" s="55">
        <f t="shared" ca="1" si="63"/>
        <v>0.16933970623724148</v>
      </c>
      <c r="AY100" s="54">
        <f t="shared" ca="1" si="64"/>
        <v>3</v>
      </c>
      <c r="AZ100" s="54">
        <f t="shared" ca="1" si="65"/>
        <v>5</v>
      </c>
      <c r="BA100" s="54" t="str">
        <f t="shared" si="66"/>
        <v>OdishaATK-MB</v>
      </c>
      <c r="BB100" s="54">
        <f t="shared" ca="1" si="67"/>
        <v>0</v>
      </c>
      <c r="BC100" s="54">
        <f t="shared" ca="1" si="68"/>
        <v>3</v>
      </c>
      <c r="BD100" s="54">
        <f t="shared" ca="1" si="69"/>
        <v>2</v>
      </c>
      <c r="BE100" s="54" t="str">
        <f t="shared" ca="1" si="70"/>
        <v>HL</v>
      </c>
      <c r="BF100" s="55" t="str">
        <f t="shared" ca="1" si="71"/>
        <v>AW</v>
      </c>
      <c r="BG100" s="86">
        <f t="shared" ca="1" si="72"/>
        <v>0.1071747703794541</v>
      </c>
      <c r="BH100" s="86">
        <f t="shared" ca="1" si="73"/>
        <v>8.7307735672061432E-2</v>
      </c>
      <c r="BI100" s="87">
        <f t="shared" ca="1" si="74"/>
        <v>0.80551749394848449</v>
      </c>
    </row>
    <row r="101" spans="1:61" x14ac:dyDescent="0.2">
      <c r="A101" s="52">
        <f>'ISL 8'!B102</f>
        <v>44615</v>
      </c>
      <c r="B101" s="54">
        <f>'ISL 8'!C102</f>
        <v>99</v>
      </c>
      <c r="C101" s="54" t="str">
        <f>'ISL 8'!D102</f>
        <v>NorthEast United</v>
      </c>
      <c r="D101" s="54">
        <f ca="1">IF('ISL 8'!E102&lt;&gt;"",'ISL 8'!E102,INDEX($AK$2:$AP$2,,MATCH($AW101,AK101:AP101,0)))</f>
        <v>5</v>
      </c>
      <c r="E101" s="54" t="str">
        <f>'ISL 8'!G102</f>
        <v>Jamshedpur</v>
      </c>
      <c r="F101" s="54">
        <f ca="1">IF('ISL 8'!F102&lt;&gt;"",'ISL 8'!F102,INDEX($AQ$2:$AV$2,,MATCH($AX101,AQ101:AV101,0)))</f>
        <v>5</v>
      </c>
      <c r="G101" s="55">
        <f>VLOOKUP($C101,'ISL Total'!$D$5:$AH$15,25,0)</f>
        <v>1.9869978963421873</v>
      </c>
      <c r="H101" s="55">
        <f>VLOOKUP($C101,'ISL Total'!$D$5:$AH$15,28,0)</f>
        <v>2.4341100805374252</v>
      </c>
      <c r="I101" s="55">
        <f>VLOOKUP($E101,'ISL Total'!$D$5:$AH$15,26,0)</f>
        <v>2.1921504637581588</v>
      </c>
      <c r="J101" s="55">
        <f>VLOOKUP(E101,'ISL Total'!$D$5:$AH$15,29,0)</f>
        <v>1.9716600419922359</v>
      </c>
      <c r="K101" s="55">
        <f t="shared" si="58"/>
        <v>5.6093760465444218</v>
      </c>
      <c r="L101" s="55">
        <f t="shared" si="59"/>
        <v>7.1479208577371578</v>
      </c>
      <c r="M101" s="55">
        <f t="shared" ca="1" si="50"/>
        <v>5.5287647098612114</v>
      </c>
      <c r="N101" s="55">
        <v>5.7737306752287418</v>
      </c>
      <c r="O101" s="55">
        <v>5.1636555837295317</v>
      </c>
      <c r="P101" s="55">
        <v>5.1983245402505665</v>
      </c>
      <c r="Q101" s="55">
        <v>5.5309152034932421</v>
      </c>
      <c r="R101" s="55">
        <v>5.3078360187908542</v>
      </c>
      <c r="S101" s="55">
        <v>5.8034764980048559</v>
      </c>
      <c r="T101" s="55">
        <v>5.944408741840201</v>
      </c>
      <c r="U101" s="55">
        <v>5.7804984360780711</v>
      </c>
      <c r="V101" s="55">
        <v>5.8790091007027137</v>
      </c>
      <c r="W101" s="55">
        <v>5.7313696351570416</v>
      </c>
      <c r="X101" s="55">
        <f t="shared" ca="1" si="60"/>
        <v>5.603817194830639</v>
      </c>
      <c r="Y101" s="55">
        <f t="shared" ca="1" si="51"/>
        <v>7.1462976379519851</v>
      </c>
      <c r="Z101" s="55">
        <v>7.3971295665826782</v>
      </c>
      <c r="AA101" s="55">
        <v>7.1624046279539488</v>
      </c>
      <c r="AB101" s="55">
        <v>7.3393624777082245</v>
      </c>
      <c r="AC101" s="55">
        <v>7.1684242332334911</v>
      </c>
      <c r="AD101" s="55">
        <v>7.4212646165298342</v>
      </c>
      <c r="AE101" s="55">
        <v>7.1262367978868841</v>
      </c>
      <c r="AF101" s="55">
        <v>7.1473971507725746</v>
      </c>
      <c r="AG101" s="55">
        <v>7.0180081652771396</v>
      </c>
      <c r="AH101" s="55">
        <v>7.4617756870951091</v>
      </c>
      <c r="AI101" s="55">
        <v>7.140446215158196</v>
      </c>
      <c r="AJ101" s="55">
        <f t="shared" ca="1" si="61"/>
        <v>7.2298861069227334</v>
      </c>
      <c r="AK101" s="55">
        <f t="shared" ref="AK101:AP112" ca="1" si="76">_xlfn.POISSON.DIST(AK$2,$X101,0)</f>
        <v>3.6837751567157235E-3</v>
      </c>
      <c r="AL101" s="55">
        <f t="shared" ca="1" si="76"/>
        <v>2.0643202565093506E-2</v>
      </c>
      <c r="AM101" s="55">
        <f t="shared" ca="1" si="76"/>
        <v>5.7840366745321461E-2</v>
      </c>
      <c r="AN101" s="55">
        <f t="shared" ca="1" si="76"/>
        <v>0.10804228057424758</v>
      </c>
      <c r="AO101" s="55">
        <f t="shared" ca="1" si="76"/>
        <v>0.15136229741267124</v>
      </c>
      <c r="AP101" s="55">
        <f t="shared" ca="1" si="76"/>
        <v>0.16964132897803924</v>
      </c>
      <c r="AQ101" s="55">
        <f t="shared" ca="1" si="75"/>
        <v>0.11928240647720777</v>
      </c>
      <c r="AR101" s="55">
        <f t="shared" ca="1" si="75"/>
        <v>8.249259027952939E-2</v>
      </c>
      <c r="AS101" s="55">
        <f t="shared" ca="1" si="75"/>
        <v>4.5639773052879168E-2</v>
      </c>
      <c r="AT101" s="55">
        <f t="shared" ca="1" si="75"/>
        <v>1.8937963493994053E-2</v>
      </c>
      <c r="AU101" s="55">
        <f t="shared" ca="1" si="75"/>
        <v>5.2387999517338555E-3</v>
      </c>
      <c r="AV101" s="55">
        <f t="shared" ca="1" si="75"/>
        <v>7.2460338575978673E-4</v>
      </c>
      <c r="AW101" s="55">
        <f t="shared" ca="1" si="62"/>
        <v>0.16964132897803924</v>
      </c>
      <c r="AX101" s="55">
        <f t="shared" ca="1" si="63"/>
        <v>0.11928240647720777</v>
      </c>
      <c r="AY101" s="54">
        <f t="shared" ca="1" si="64"/>
        <v>5</v>
      </c>
      <c r="AZ101" s="54">
        <f t="shared" ca="1" si="65"/>
        <v>5</v>
      </c>
      <c r="BA101" s="54" t="str">
        <f t="shared" si="66"/>
        <v>NorthEast UnitedJamshedpur</v>
      </c>
      <c r="BB101" s="54">
        <f t="shared" ca="1" si="67"/>
        <v>1</v>
      </c>
      <c r="BC101" s="54">
        <f t="shared" ca="1" si="68"/>
        <v>1</v>
      </c>
      <c r="BD101" s="54">
        <f t="shared" ca="1" si="69"/>
        <v>0</v>
      </c>
      <c r="BE101" s="54" t="str">
        <f t="shared" ca="1" si="70"/>
        <v>HD</v>
      </c>
      <c r="BF101" s="55" t="str">
        <f t="shared" ca="1" si="71"/>
        <v>AD</v>
      </c>
      <c r="BG101" s="86">
        <f t="shared" ca="1" si="72"/>
        <v>3.9688398390928747E-2</v>
      </c>
      <c r="BH101" s="86">
        <f t="shared" ca="1" si="73"/>
        <v>3.8858712746702814E-2</v>
      </c>
      <c r="BI101" s="87">
        <f t="shared" ca="1" si="74"/>
        <v>0.92145288886236842</v>
      </c>
    </row>
    <row r="102" spans="1:61" x14ac:dyDescent="0.2">
      <c r="A102" s="52">
        <f>'ISL 8'!B103</f>
        <v>44616</v>
      </c>
      <c r="B102" s="54">
        <f>'ISL 8'!C103</f>
        <v>100</v>
      </c>
      <c r="C102" s="54" t="str">
        <f>'ISL 8'!D103</f>
        <v>Kerala Blasters</v>
      </c>
      <c r="D102" s="54">
        <f ca="1">IF('ISL 8'!E103&lt;&gt;"",'ISL 8'!E103,INDEX($AK$2:$AP$2,,MATCH($AW102,AK102:AP102,0)))</f>
        <v>4</v>
      </c>
      <c r="E102" s="54" t="str">
        <f>'ISL 8'!G103</f>
        <v>Chennaiyin</v>
      </c>
      <c r="F102" s="54">
        <f ca="1">IF('ISL 8'!F103&lt;&gt;"",'ISL 8'!F103,INDEX($AQ$2:$AV$2,,MATCH($AX102,AQ102:AV102,0)))</f>
        <v>3</v>
      </c>
      <c r="G102" s="55">
        <f>VLOOKUP($C102,'ISL Total'!$D$5:$AH$15,25,0)</f>
        <v>1.7408543887928634</v>
      </c>
      <c r="H102" s="55">
        <f>VLOOKUP($C102,'ISL Total'!$D$5:$AH$15,28,0)</f>
        <v>1.6729569830909576</v>
      </c>
      <c r="I102" s="55">
        <f>VLOOKUP($E102,'ISL Total'!$D$5:$AH$15,26,0)</f>
        <v>1.4832889614107407</v>
      </c>
      <c r="J102" s="55">
        <f>VLOOKUP(E102,'ISL Total'!$D$5:$AH$15,29,0)</f>
        <v>1.6817905576540886</v>
      </c>
      <c r="K102" s="55">
        <f t="shared" si="58"/>
        <v>4.1919825853255253</v>
      </c>
      <c r="L102" s="55">
        <f t="shared" si="59"/>
        <v>3.3241430090558506</v>
      </c>
      <c r="M102" s="55">
        <f t="shared" ca="1" si="50"/>
        <v>4.460122003543062</v>
      </c>
      <c r="N102" s="55">
        <v>4.0492650481865278</v>
      </c>
      <c r="O102" s="55">
        <v>3.8554711923360543</v>
      </c>
      <c r="P102" s="55">
        <v>4.0843470229363614</v>
      </c>
      <c r="Q102" s="55">
        <v>4.0459027032014614</v>
      </c>
      <c r="R102" s="55">
        <v>4.2302365471165473</v>
      </c>
      <c r="S102" s="55">
        <v>4.1786751645854654</v>
      </c>
      <c r="T102" s="55">
        <v>4.2011199545859972</v>
      </c>
      <c r="U102" s="55">
        <v>4.276577684294673</v>
      </c>
      <c r="V102" s="55">
        <v>4.5457199301340108</v>
      </c>
      <c r="W102" s="55">
        <v>4.1681196439479216</v>
      </c>
      <c r="X102" s="55">
        <f t="shared" ca="1" si="60"/>
        <v>4.1905051722607345</v>
      </c>
      <c r="Y102" s="55">
        <f t="shared" ca="1" si="51"/>
        <v>3.7554219347451689</v>
      </c>
      <c r="Z102" s="55">
        <v>3.318688582809767</v>
      </c>
      <c r="AA102" s="55">
        <v>3.2558282391701798</v>
      </c>
      <c r="AB102" s="55">
        <v>3.1898417269132948</v>
      </c>
      <c r="AC102" s="55">
        <v>3.3001726824584607</v>
      </c>
      <c r="AD102" s="55">
        <v>3.2406010170896584</v>
      </c>
      <c r="AE102" s="55">
        <v>2.8366151599880904</v>
      </c>
      <c r="AF102" s="55">
        <v>3.7983247467235768</v>
      </c>
      <c r="AG102" s="55">
        <v>3.5540567252746453</v>
      </c>
      <c r="AH102" s="55">
        <v>3.4326596975410646</v>
      </c>
      <c r="AI102" s="55">
        <v>3.1536801663232055</v>
      </c>
      <c r="AJ102" s="55">
        <f t="shared" ca="1" si="61"/>
        <v>3.3487173344579193</v>
      </c>
      <c r="AK102" s="55">
        <f t="shared" ca="1" si="76"/>
        <v>1.5138635322409014E-2</v>
      </c>
      <c r="AL102" s="55">
        <f t="shared" ca="1" si="76"/>
        <v>6.3438529619524023E-2</v>
      </c>
      <c r="AM102" s="55">
        <f t="shared" ca="1" si="76"/>
        <v>0.13291974324561565</v>
      </c>
      <c r="AN102" s="55">
        <f t="shared" ca="1" si="76"/>
        <v>0.18566695718877374</v>
      </c>
      <c r="AO102" s="55">
        <f t="shared" ca="1" si="76"/>
        <v>0.19450958610436717</v>
      </c>
      <c r="AP102" s="55">
        <f t="shared" ca="1" si="76"/>
        <v>0.16301868532492902</v>
      </c>
      <c r="AQ102" s="55">
        <f t="shared" ca="1" si="75"/>
        <v>0.12327691152169235</v>
      </c>
      <c r="AR102" s="55">
        <f t="shared" ca="1" si="75"/>
        <v>0.18406586643367454</v>
      </c>
      <c r="AS102" s="55">
        <f t="shared" ca="1" si="75"/>
        <v>0.21986432182813134</v>
      </c>
      <c r="AT102" s="55">
        <f t="shared" ca="1" si="75"/>
        <v>0.19696883899314457</v>
      </c>
      <c r="AU102" s="55">
        <f t="shared" ca="1" si="75"/>
        <v>0.11763837871077239</v>
      </c>
      <c r="AV102" s="55">
        <f t="shared" ca="1" si="75"/>
        <v>3.512938446619155E-2</v>
      </c>
      <c r="AW102" s="55">
        <f t="shared" ca="1" si="62"/>
        <v>0.19450958610436717</v>
      </c>
      <c r="AX102" s="55">
        <f t="shared" ca="1" si="63"/>
        <v>0.21986432182813134</v>
      </c>
      <c r="AY102" s="54">
        <f t="shared" ca="1" si="64"/>
        <v>4</v>
      </c>
      <c r="AZ102" s="54">
        <f t="shared" ca="1" si="65"/>
        <v>3</v>
      </c>
      <c r="BA102" s="54" t="str">
        <f t="shared" si="66"/>
        <v>Kerala BlastersChennaiyin</v>
      </c>
      <c r="BB102" s="54">
        <f t="shared" ca="1" si="67"/>
        <v>3</v>
      </c>
      <c r="BC102" s="54">
        <f t="shared" ca="1" si="68"/>
        <v>0</v>
      </c>
      <c r="BD102" s="54">
        <f t="shared" ca="1" si="69"/>
        <v>1</v>
      </c>
      <c r="BE102" s="54" t="str">
        <f t="shared" ca="1" si="70"/>
        <v>HW</v>
      </c>
      <c r="BF102" s="55" t="str">
        <f t="shared" ca="1" si="71"/>
        <v>AL</v>
      </c>
      <c r="BG102" s="86">
        <f t="shared" ca="1" si="72"/>
        <v>0.32112354841796015</v>
      </c>
      <c r="BH102" s="86">
        <f t="shared" ca="1" si="73"/>
        <v>0.13089621939046836</v>
      </c>
      <c r="BI102" s="87">
        <f t="shared" ca="1" si="74"/>
        <v>0.54798023219157144</v>
      </c>
    </row>
    <row r="103" spans="1:61" x14ac:dyDescent="0.2">
      <c r="A103" s="52">
        <f>'ISL 8'!B104</f>
        <v>44617</v>
      </c>
      <c r="B103" s="54">
        <f>'ISL 8'!C104</f>
        <v>101</v>
      </c>
      <c r="C103" s="54" t="str">
        <f>'ISL 8'!D104</f>
        <v>Goa</v>
      </c>
      <c r="D103" s="54">
        <f ca="1">IF('ISL 8'!E104&lt;&gt;"",'ISL 8'!E104,INDEX($AK$2:$AP$2,,MATCH($AW103,AK103:AP103,0)))</f>
        <v>5</v>
      </c>
      <c r="E103" s="54" t="str">
        <f>'ISL 8'!G104</f>
        <v>Mumbai City</v>
      </c>
      <c r="F103" s="54">
        <f ca="1">IF('ISL 8'!F104&lt;&gt;"",'ISL 8'!F104,INDEX($AQ$2:$AV$2,,MATCH($AX103,AQ103:AV103,0)))</f>
        <v>5</v>
      </c>
      <c r="G103" s="55">
        <f>VLOOKUP($C103,'ISL Total'!$D$5:$AH$15,25,0)</f>
        <v>1.7934931050517995</v>
      </c>
      <c r="H103" s="55">
        <f>VLOOKUP($C103,'ISL Total'!$D$5:$AH$15,28,0)</f>
        <v>2.0847265162792477</v>
      </c>
      <c r="I103" s="55">
        <f>VLOOKUP($E103,'ISL Total'!$D$5:$AH$15,26,0)</f>
        <v>2.4343333715027291</v>
      </c>
      <c r="J103" s="55">
        <f>VLOOKUP(E103,'ISL Total'!$D$5:$AH$15,29,0)</f>
        <v>1.9843487615958779</v>
      </c>
      <c r="K103" s="55">
        <f t="shared" si="58"/>
        <v>5.0956880010018866</v>
      </c>
      <c r="L103" s="55">
        <f t="shared" si="59"/>
        <v>6.7982683521145875</v>
      </c>
      <c r="M103" s="55">
        <f t="shared" ca="1" si="50"/>
        <v>5.4998896717299353</v>
      </c>
      <c r="N103" s="55">
        <v>5.4043439759320302</v>
      </c>
      <c r="O103" s="55">
        <v>4.7854161975752376</v>
      </c>
      <c r="P103" s="55">
        <v>5.2751016729704938</v>
      </c>
      <c r="Q103" s="55">
        <v>4.974517093165578</v>
      </c>
      <c r="R103" s="55">
        <v>4.7727608255255127</v>
      </c>
      <c r="S103" s="55">
        <v>4.8492946061479945</v>
      </c>
      <c r="T103" s="55">
        <v>5.10071220032534</v>
      </c>
      <c r="U103" s="55">
        <v>4.3582633004354561</v>
      </c>
      <c r="V103" s="55">
        <v>5.1117040242791862</v>
      </c>
      <c r="W103" s="55">
        <v>5.853408878611039</v>
      </c>
      <c r="X103" s="55">
        <f t="shared" ca="1" si="60"/>
        <v>5.0895829496997997</v>
      </c>
      <c r="Y103" s="55">
        <f t="shared" ca="1" si="51"/>
        <v>6.9916615810965412</v>
      </c>
      <c r="Z103" s="55">
        <v>6.6265397028431181</v>
      </c>
      <c r="AA103" s="55">
        <v>6.6181014242834024</v>
      </c>
      <c r="AB103" s="55">
        <v>6.6929387396439646</v>
      </c>
      <c r="AC103" s="55">
        <v>6.6946095602962528</v>
      </c>
      <c r="AD103" s="55">
        <v>6.5425109201299971</v>
      </c>
      <c r="AE103" s="55">
        <v>6.6720788498836399</v>
      </c>
      <c r="AF103" s="55">
        <v>6.6453787205606414</v>
      </c>
      <c r="AG103" s="55">
        <v>6.6957897366339898</v>
      </c>
      <c r="AH103" s="55">
        <v>7.1352601935188131</v>
      </c>
      <c r="AI103" s="55">
        <v>6.3921544696249351</v>
      </c>
      <c r="AJ103" s="55">
        <f t="shared" ca="1" si="61"/>
        <v>6.7006385362286638</v>
      </c>
      <c r="AK103" s="55">
        <f t="shared" ca="1" si="76"/>
        <v>6.1605886268210688E-3</v>
      </c>
      <c r="AL103" s="55">
        <f t="shared" ca="1" si="76"/>
        <v>3.1354826835183015E-2</v>
      </c>
      <c r="AM103" s="55">
        <f t="shared" ca="1" si="76"/>
        <v>7.9791496025568606E-2</v>
      </c>
      <c r="AN103" s="55">
        <f t="shared" ca="1" si="76"/>
        <v>0.13536847923425777</v>
      </c>
      <c r="AO103" s="55">
        <f t="shared" ca="1" si="76"/>
        <v>0.17224227595936747</v>
      </c>
      <c r="AP103" s="55">
        <f t="shared" ca="1" si="76"/>
        <v>0.17532827018805683</v>
      </c>
      <c r="AQ103" s="55">
        <f t="shared" ca="1" si="75"/>
        <v>0.13846798294399468</v>
      </c>
      <c r="AR103" s="55">
        <f t="shared" ca="1" si="75"/>
        <v>0.10332446840352093</v>
      </c>
      <c r="AS103" s="55">
        <f t="shared" ca="1" si="75"/>
        <v>6.1680371412289499E-2</v>
      </c>
      <c r="AT103" s="55">
        <f t="shared" ca="1" si="75"/>
        <v>2.7615444891766334E-2</v>
      </c>
      <c r="AU103" s="55">
        <f t="shared" ca="1" si="75"/>
        <v>8.2426308306160923E-3</v>
      </c>
      <c r="AV103" s="55">
        <f t="shared" ca="1" si="75"/>
        <v>1.2301261717148693E-3</v>
      </c>
      <c r="AW103" s="55">
        <f t="shared" ca="1" si="62"/>
        <v>0.17532827018805683</v>
      </c>
      <c r="AX103" s="55">
        <f t="shared" ca="1" si="63"/>
        <v>0.13846798294399468</v>
      </c>
      <c r="AY103" s="54">
        <f t="shared" ca="1" si="64"/>
        <v>5</v>
      </c>
      <c r="AZ103" s="54">
        <f t="shared" ca="1" si="65"/>
        <v>5</v>
      </c>
      <c r="BA103" s="54" t="str">
        <f t="shared" si="66"/>
        <v>GoaMumbai City</v>
      </c>
      <c r="BB103" s="54">
        <f t="shared" ca="1" si="67"/>
        <v>1</v>
      </c>
      <c r="BC103" s="54">
        <f t="shared" ca="1" si="68"/>
        <v>1</v>
      </c>
      <c r="BD103" s="54">
        <f t="shared" ca="1" si="69"/>
        <v>0</v>
      </c>
      <c r="BE103" s="54" t="str">
        <f t="shared" ca="1" si="70"/>
        <v>HD</v>
      </c>
      <c r="BF103" s="55" t="str">
        <f t="shared" ca="1" si="71"/>
        <v>AD</v>
      </c>
      <c r="BG103" s="86">
        <f t="shared" ca="1" si="72"/>
        <v>5.8259736613331913E-2</v>
      </c>
      <c r="BH103" s="86">
        <f t="shared" ca="1" si="73"/>
        <v>5.2893273827788967E-2</v>
      </c>
      <c r="BI103" s="87">
        <f t="shared" ca="1" si="74"/>
        <v>0.88884698955887909</v>
      </c>
    </row>
    <row r="104" spans="1:61" x14ac:dyDescent="0.2">
      <c r="A104" s="52">
        <f>'ISL 8'!B105</f>
        <v>44618</v>
      </c>
      <c r="B104" s="54">
        <f>'ISL 8'!C105</f>
        <v>102</v>
      </c>
      <c r="C104" s="54" t="str">
        <f>'ISL 8'!D105</f>
        <v>ATK-MB</v>
      </c>
      <c r="D104" s="54">
        <f ca="1">IF('ISL 8'!E105&lt;&gt;"",'ISL 8'!E105,INDEX($AK$2:$AP$2,,MATCH($AW104,AK104:AP104,0)))</f>
        <v>4</v>
      </c>
      <c r="E104" s="54" t="str">
        <f>'ISL 8'!G105</f>
        <v>Bengaluru</v>
      </c>
      <c r="F104" s="54">
        <f ca="1">IF('ISL 8'!F105&lt;&gt;"",'ISL 8'!F105,INDEX($AQ$2:$AV$2,,MATCH($AX104,AQ104:AV104,0)))</f>
        <v>5</v>
      </c>
      <c r="G104" s="55">
        <f>VLOOKUP($C104,'ISL Total'!$D$5:$AH$15,25,0)</f>
        <v>2.0695986245708529</v>
      </c>
      <c r="H104" s="55">
        <f>VLOOKUP($C104,'ISL Total'!$D$5:$AH$15,28,0)</f>
        <v>1.8323600137409826</v>
      </c>
      <c r="I104" s="55">
        <f>VLOOKUP($E104,'ISL Total'!$D$5:$AH$15,26,0)</f>
        <v>2.137197984655903</v>
      </c>
      <c r="J104" s="55">
        <f>VLOOKUP(E104,'ISL Total'!$D$5:$AH$15,29,0)</f>
        <v>1.6538618669066225</v>
      </c>
      <c r="K104" s="55">
        <f t="shared" si="58"/>
        <v>4.9008394357870957</v>
      </c>
      <c r="L104" s="55">
        <f t="shared" si="59"/>
        <v>5.2459569529474823</v>
      </c>
      <c r="M104" s="55">
        <f t="shared" ca="1" si="50"/>
        <v>4.7926609501328734</v>
      </c>
      <c r="N104" s="55">
        <v>4.9620305101422275</v>
      </c>
      <c r="O104" s="55">
        <v>4.8590578434465446</v>
      </c>
      <c r="P104" s="55">
        <v>4.9289101596826264</v>
      </c>
      <c r="Q104" s="55">
        <v>4.6832364995400679</v>
      </c>
      <c r="R104" s="55">
        <v>4.4461022580239167</v>
      </c>
      <c r="S104" s="55">
        <v>5.2493248802909473</v>
      </c>
      <c r="T104" s="55">
        <v>4.9243525448537468</v>
      </c>
      <c r="U104" s="55">
        <v>4.9087752460240894</v>
      </c>
      <c r="V104" s="55">
        <v>4.5821826614488703</v>
      </c>
      <c r="W104" s="55">
        <v>5.5085987876384737</v>
      </c>
      <c r="X104" s="55">
        <f t="shared" ca="1" si="60"/>
        <v>4.8950211219294895</v>
      </c>
      <c r="Y104" s="55">
        <f t="shared" ca="1" si="51"/>
        <v>5.1729055053692932</v>
      </c>
      <c r="Z104" s="55">
        <v>5.2050803215492794</v>
      </c>
      <c r="AA104" s="55">
        <v>5.0285034749995425</v>
      </c>
      <c r="AB104" s="55">
        <v>5.2181688103205293</v>
      </c>
      <c r="AC104" s="55">
        <v>5.4465348385242072</v>
      </c>
      <c r="AD104" s="55">
        <v>5.2026391674217471</v>
      </c>
      <c r="AE104" s="55">
        <v>5.1969789699974838</v>
      </c>
      <c r="AF104" s="55">
        <v>5.2706494627131608</v>
      </c>
      <c r="AG104" s="55">
        <v>5.3838172986500261</v>
      </c>
      <c r="AH104" s="55">
        <v>5.2850110521043563</v>
      </c>
      <c r="AI104" s="55">
        <v>5.4486881666061215</v>
      </c>
      <c r="AJ104" s="55">
        <f t="shared" ca="1" si="61"/>
        <v>5.2599070062050686</v>
      </c>
      <c r="AK104" s="55">
        <f t="shared" ca="1" si="76"/>
        <v>7.4837511509650871E-3</v>
      </c>
      <c r="AL104" s="55">
        <f t="shared" ca="1" si="76"/>
        <v>3.6633119955238234E-2</v>
      </c>
      <c r="AM104" s="55">
        <f t="shared" ca="1" si="76"/>
        <v>8.9659947971533926E-2</v>
      </c>
      <c r="AN104" s="55">
        <f t="shared" ca="1" si="76"/>
        <v>0.14629577970391919</v>
      </c>
      <c r="AO104" s="55">
        <f t="shared" ca="1" si="76"/>
        <v>0.17903023292495701</v>
      </c>
      <c r="AP104" s="55">
        <f t="shared" ca="1" si="76"/>
        <v>0.17527135432632415</v>
      </c>
      <c r="AQ104" s="55">
        <f t="shared" ca="1" si="75"/>
        <v>0.17432532994718433</v>
      </c>
      <c r="AR104" s="55">
        <f t="shared" ca="1" si="75"/>
        <v>0.16571141822615326</v>
      </c>
      <c r="AS104" s="55">
        <f t="shared" ca="1" si="75"/>
        <v>0.12601851555981111</v>
      </c>
      <c r="AT104" s="55">
        <f t="shared" ca="1" si="75"/>
        <v>7.1874948783969828E-2</v>
      </c>
      <c r="AU104" s="55">
        <f t="shared" ca="1" si="75"/>
        <v>2.7329361032116934E-2</v>
      </c>
      <c r="AV104" s="55">
        <f t="shared" ca="1" si="75"/>
        <v>5.1957878722716415E-3</v>
      </c>
      <c r="AW104" s="55">
        <f t="shared" ca="1" si="62"/>
        <v>0.17903023292495701</v>
      </c>
      <c r="AX104" s="55">
        <f t="shared" ca="1" si="63"/>
        <v>0.17432532994718433</v>
      </c>
      <c r="AY104" s="54">
        <f t="shared" ca="1" si="64"/>
        <v>4</v>
      </c>
      <c r="AZ104" s="54">
        <f t="shared" ca="1" si="65"/>
        <v>5</v>
      </c>
      <c r="BA104" s="54" t="str">
        <f t="shared" si="66"/>
        <v>ATK-MBBengaluru</v>
      </c>
      <c r="BB104" s="54">
        <f t="shared" ca="1" si="67"/>
        <v>0</v>
      </c>
      <c r="BC104" s="54">
        <f t="shared" ca="1" si="68"/>
        <v>3</v>
      </c>
      <c r="BD104" s="54">
        <f t="shared" ca="1" si="69"/>
        <v>1</v>
      </c>
      <c r="BE104" s="54" t="str">
        <f t="shared" ca="1" si="70"/>
        <v>HL</v>
      </c>
      <c r="BF104" s="55" t="str">
        <f t="shared" ca="1" si="71"/>
        <v>AW</v>
      </c>
      <c r="BG104" s="86">
        <f t="shared" ca="1" si="72"/>
        <v>0.12906197987730383</v>
      </c>
      <c r="BH104" s="86">
        <f t="shared" ca="1" si="73"/>
        <v>8.6141915380418765E-2</v>
      </c>
      <c r="BI104" s="87">
        <f t="shared" ca="1" si="74"/>
        <v>0.78479610474227735</v>
      </c>
    </row>
    <row r="105" spans="1:61" x14ac:dyDescent="0.2">
      <c r="A105" s="52">
        <f>'ISL 8'!B106</f>
        <v>44619</v>
      </c>
      <c r="B105" s="54">
        <f>'ISL 8'!C106</f>
        <v>103</v>
      </c>
      <c r="C105" s="54" t="str">
        <f>'ISL 8'!D106</f>
        <v>East Bengal</v>
      </c>
      <c r="D105" s="54">
        <f ca="1">IF('ISL 8'!E106&lt;&gt;"",'ISL 8'!E106,INDEX($AK$2:$AP$2,,MATCH($AW105,AK105:AP105,0)))</f>
        <v>5</v>
      </c>
      <c r="E105" s="54" t="str">
        <f>'ISL 8'!G106</f>
        <v>NorthEast United</v>
      </c>
      <c r="F105" s="54">
        <f ca="1">IF('ISL 8'!F106&lt;&gt;"",'ISL 8'!F106,INDEX($AQ$2:$AV$2,,MATCH($AX105,AQ105:AV105,0)))</f>
        <v>5</v>
      </c>
      <c r="G105" s="55">
        <f>VLOOKUP($C105,'ISL Total'!$D$5:$AH$15,25,0)</f>
        <v>2.2983657473042753</v>
      </c>
      <c r="H105" s="55">
        <f>VLOOKUP($C105,'ISL Total'!$D$5:$AH$15,28,0)</f>
        <v>2.2682850490476736</v>
      </c>
      <c r="I105" s="55">
        <f>VLOOKUP($E105,'ISL Total'!$D$5:$AH$15,26,0)</f>
        <v>1.8614679949616395</v>
      </c>
      <c r="J105" s="55">
        <f>VLOOKUP(E105,'ISL Total'!$D$5:$AH$15,29,0)</f>
        <v>2.7778362426875027</v>
      </c>
      <c r="K105" s="55">
        <f t="shared" si="58"/>
        <v>9.1413617142860613</v>
      </c>
      <c r="L105" s="55">
        <f t="shared" si="59"/>
        <v>5.6561688342347027</v>
      </c>
      <c r="M105" s="55">
        <f t="shared" ca="1" si="50"/>
        <v>8.9983226927252939</v>
      </c>
      <c r="N105" s="55">
        <v>9.1474203207967051</v>
      </c>
      <c r="O105" s="55">
        <v>9.2904522178240878</v>
      </c>
      <c r="P105" s="55">
        <v>8.8713629356077561</v>
      </c>
      <c r="Q105" s="55">
        <v>9.0894659887960358</v>
      </c>
      <c r="R105" s="55">
        <v>9.1048538588483314</v>
      </c>
      <c r="S105" s="55">
        <v>9.3614454796669779</v>
      </c>
      <c r="T105" s="55">
        <v>8.7083623397982812</v>
      </c>
      <c r="U105" s="55">
        <v>9.0006214460271519</v>
      </c>
      <c r="V105" s="55">
        <v>9.5836885924593247</v>
      </c>
      <c r="W105" s="55">
        <v>9.2090964274309535</v>
      </c>
      <c r="X105" s="55">
        <f t="shared" ca="1" si="60"/>
        <v>9.1240992999982637</v>
      </c>
      <c r="Y105" s="55">
        <f t="shared" ca="1" si="51"/>
        <v>5.3042308361178687</v>
      </c>
      <c r="Z105" s="55">
        <v>5.4166636197667524</v>
      </c>
      <c r="AA105" s="55">
        <v>5.3106831081597701</v>
      </c>
      <c r="AB105" s="55">
        <v>5.6226229361507878</v>
      </c>
      <c r="AC105" s="55">
        <v>5.8025754026336642</v>
      </c>
      <c r="AD105" s="55">
        <v>5.9497855318688089</v>
      </c>
      <c r="AE105" s="55">
        <v>5.5348580451140164</v>
      </c>
      <c r="AF105" s="55">
        <v>5.3813730401110433</v>
      </c>
      <c r="AG105" s="55">
        <v>5.543731289617793</v>
      </c>
      <c r="AH105" s="55">
        <v>5.8880900051622405</v>
      </c>
      <c r="AI105" s="55">
        <v>5.7737784970733941</v>
      </c>
      <c r="AJ105" s="55">
        <f t="shared" ca="1" si="61"/>
        <v>5.593490210161467</v>
      </c>
      <c r="AK105" s="55">
        <f t="shared" ca="1" si="76"/>
        <v>1.0900690817422147E-4</v>
      </c>
      <c r="AL105" s="55">
        <f t="shared" ca="1" si="76"/>
        <v>9.9458985456738901E-4</v>
      </c>
      <c r="AM105" s="55">
        <f t="shared" ca="1" si="76"/>
        <v>4.5373682979218495E-3</v>
      </c>
      <c r="AN105" s="55">
        <f t="shared" ca="1" si="76"/>
        <v>1.3799799636967678E-2</v>
      </c>
      <c r="AO105" s="55">
        <f t="shared" ca="1" si="76"/>
        <v>3.147768555194326E-2</v>
      </c>
      <c r="AP105" s="55">
        <f t="shared" ca="1" si="76"/>
        <v>5.7441105742010203E-2</v>
      </c>
      <c r="AQ105" s="55">
        <f t="shared" ca="1" si="75"/>
        <v>0.1698287576562747</v>
      </c>
      <c r="AR105" s="55">
        <f t="shared" ca="1" si="75"/>
        <v>0.15180929194061493</v>
      </c>
      <c r="AS105" s="55">
        <f t="shared" ca="1" si="75"/>
        <v>0.10856140709057044</v>
      </c>
      <c r="AT105" s="55">
        <f t="shared" ca="1" si="75"/>
        <v>5.822558170926162E-2</v>
      </c>
      <c r="AU105" s="55">
        <f t="shared" ca="1" si="75"/>
        <v>2.0819051977059171E-2</v>
      </c>
      <c r="AV105" s="55">
        <f t="shared" ca="1" si="75"/>
        <v>3.7220145552839343E-3</v>
      </c>
      <c r="AW105" s="55">
        <f t="shared" ca="1" si="62"/>
        <v>5.7441105742010203E-2</v>
      </c>
      <c r="AX105" s="55">
        <f t="shared" ca="1" si="63"/>
        <v>0.1698287576562747</v>
      </c>
      <c r="AY105" s="54">
        <f t="shared" ca="1" si="64"/>
        <v>5</v>
      </c>
      <c r="AZ105" s="54">
        <f t="shared" ca="1" si="65"/>
        <v>5</v>
      </c>
      <c r="BA105" s="54" t="str">
        <f t="shared" si="66"/>
        <v>East BengalNorthEast United</v>
      </c>
      <c r="BB105" s="54">
        <f t="shared" ca="1" si="67"/>
        <v>1</v>
      </c>
      <c r="BC105" s="54">
        <f t="shared" ca="1" si="68"/>
        <v>1</v>
      </c>
      <c r="BD105" s="54">
        <f t="shared" ca="1" si="69"/>
        <v>0</v>
      </c>
      <c r="BE105" s="54" t="str">
        <f t="shared" ca="1" si="70"/>
        <v>HD</v>
      </c>
      <c r="BF105" s="55" t="str">
        <f t="shared" ca="1" si="71"/>
        <v>AD</v>
      </c>
      <c r="BG105" s="86">
        <f t="shared" ca="1" si="72"/>
        <v>2.6989969909294032E-2</v>
      </c>
      <c r="BH105" s="86">
        <f t="shared" ca="1" si="73"/>
        <v>1.631718550004789E-2</v>
      </c>
      <c r="BI105" s="87">
        <f t="shared" ca="1" si="74"/>
        <v>0.95669284459065806</v>
      </c>
    </row>
    <row r="106" spans="1:61" x14ac:dyDescent="0.2">
      <c r="A106" s="52">
        <f>'ISL 8'!B107</f>
        <v>44620</v>
      </c>
      <c r="B106" s="54">
        <f>'ISL 8'!C107</f>
        <v>104</v>
      </c>
      <c r="C106" s="54" t="str">
        <f>'ISL 8'!D107</f>
        <v>Hyderabad</v>
      </c>
      <c r="D106" s="54">
        <f ca="1">IF('ISL 8'!E107&lt;&gt;"",'ISL 8'!E107,INDEX($AK$2:$AP$2,,MATCH($AW106,AK106:AP106,0)))</f>
        <v>5</v>
      </c>
      <c r="E106" s="54" t="str">
        <f>'ISL 8'!G107</f>
        <v>Jamshedpur</v>
      </c>
      <c r="F106" s="54">
        <f ca="1">IF('ISL 8'!F107&lt;&gt;"",'ISL 8'!F107,INDEX($AQ$2:$AV$2,,MATCH($AX106,AQ106:AV106,0)))</f>
        <v>4</v>
      </c>
      <c r="G106" s="55">
        <f>VLOOKUP($C106,'ISL Total'!$D$5:$AH$15,25,0)</f>
        <v>2.6008540597170162</v>
      </c>
      <c r="H106" s="55">
        <f>VLOOKUP($C106,'ISL Total'!$D$5:$AH$15,28,0)</f>
        <v>1.7011584411618765</v>
      </c>
      <c r="I106" s="55">
        <f>VLOOKUP($E106,'ISL Total'!$D$5:$AH$15,26,0)</f>
        <v>2.1921504637581588</v>
      </c>
      <c r="J106" s="55">
        <f>VLOOKUP(E106,'ISL Total'!$D$5:$AH$15,29,0)</f>
        <v>1.9716600419922359</v>
      </c>
      <c r="K106" s="55">
        <f t="shared" si="58"/>
        <v>7.3423170150261692</v>
      </c>
      <c r="L106" s="55">
        <f t="shared" si="59"/>
        <v>4.9955612119283721</v>
      </c>
      <c r="M106" s="55">
        <f t="shared" ca="1" si="50"/>
        <v>7.8447363203746434</v>
      </c>
      <c r="N106" s="55">
        <v>7.3477161567477429</v>
      </c>
      <c r="O106" s="55">
        <v>7.4209498696182283</v>
      </c>
      <c r="P106" s="55">
        <v>7.4894916564731142</v>
      </c>
      <c r="Q106" s="55">
        <v>7.2708090389302376</v>
      </c>
      <c r="R106" s="55">
        <v>7.4511820008871084</v>
      </c>
      <c r="S106" s="55">
        <v>7.2511903655773819</v>
      </c>
      <c r="T106" s="55">
        <v>7.7317323624457606</v>
      </c>
      <c r="U106" s="55">
        <v>7.1927157223183507</v>
      </c>
      <c r="V106" s="55">
        <v>7.7426130871578307</v>
      </c>
      <c r="W106" s="55">
        <v>7.8193286065451924</v>
      </c>
      <c r="X106" s="55">
        <f t="shared" ca="1" si="60"/>
        <v>7.5056786533705093</v>
      </c>
      <c r="Y106" s="55">
        <f t="shared" ca="1" si="51"/>
        <v>5.4174138788476007</v>
      </c>
      <c r="Z106" s="55">
        <v>5.0384165434915653</v>
      </c>
      <c r="AA106" s="55">
        <v>4.8303349425792579</v>
      </c>
      <c r="AB106" s="55">
        <v>4.9951686118064362</v>
      </c>
      <c r="AC106" s="55">
        <v>4.9183755006426448</v>
      </c>
      <c r="AD106" s="55">
        <v>5.1447851196057464</v>
      </c>
      <c r="AE106" s="55">
        <v>4.8796646433480033</v>
      </c>
      <c r="AF106" s="55">
        <v>4.9666197244498616</v>
      </c>
      <c r="AG106" s="55">
        <v>4.953967651025871</v>
      </c>
      <c r="AH106" s="55">
        <v>4.2975025885759006</v>
      </c>
      <c r="AI106" s="55">
        <v>5.1565063049661113</v>
      </c>
      <c r="AJ106" s="55">
        <f t="shared" ca="1" si="61"/>
        <v>4.9635232281217272</v>
      </c>
      <c r="AK106" s="55">
        <f t="shared" ca="1" si="76"/>
        <v>5.4995249655353867E-4</v>
      </c>
      <c r="AL106" s="55">
        <f t="shared" ca="1" si="76"/>
        <v>4.1277667137497136E-3</v>
      </c>
      <c r="AM106" s="55">
        <f t="shared" ca="1" si="76"/>
        <v>1.5490845254742286E-2</v>
      </c>
      <c r="AN106" s="55">
        <f t="shared" ca="1" si="76"/>
        <v>3.8756435517061663E-2</v>
      </c>
      <c r="AO106" s="55">
        <f t="shared" ca="1" si="76"/>
        <v>7.2723337685285105E-2</v>
      </c>
      <c r="AP106" s="55">
        <f t="shared" ca="1" si="76"/>
        <v>0.10916760065325989</v>
      </c>
      <c r="AQ106" s="55">
        <f t="shared" ca="1" si="75"/>
        <v>0.17544391026540537</v>
      </c>
      <c r="AR106" s="55">
        <f t="shared" ca="1" si="75"/>
        <v>0.1767332418949876</v>
      </c>
      <c r="AS106" s="55">
        <f t="shared" ca="1" si="75"/>
        <v>0.14242563902485544</v>
      </c>
      <c r="AT106" s="55">
        <f t="shared" ca="1" si="75"/>
        <v>8.6083392267362169E-2</v>
      </c>
      <c r="AU106" s="55">
        <f t="shared" ca="1" si="75"/>
        <v>3.4686406534633035E-2</v>
      </c>
      <c r="AV106" s="55">
        <f t="shared" ca="1" si="75"/>
        <v>6.988263163172281E-3</v>
      </c>
      <c r="AW106" s="55">
        <f t="shared" ca="1" si="62"/>
        <v>0.10916760065325989</v>
      </c>
      <c r="AX106" s="55">
        <f t="shared" ca="1" si="63"/>
        <v>0.1767332418949876</v>
      </c>
      <c r="AY106" s="54">
        <f t="shared" ca="1" si="64"/>
        <v>5</v>
      </c>
      <c r="AZ106" s="54">
        <f t="shared" ca="1" si="65"/>
        <v>4</v>
      </c>
      <c r="BA106" s="54" t="str">
        <f t="shared" si="66"/>
        <v>HyderabadJamshedpur</v>
      </c>
      <c r="BB106" s="54">
        <f t="shared" ca="1" si="67"/>
        <v>3</v>
      </c>
      <c r="BC106" s="54">
        <f t="shared" ca="1" si="68"/>
        <v>0</v>
      </c>
      <c r="BD106" s="54">
        <f t="shared" ca="1" si="69"/>
        <v>1</v>
      </c>
      <c r="BE106" s="54" t="str">
        <f t="shared" ca="1" si="70"/>
        <v>HW</v>
      </c>
      <c r="BF106" s="55" t="str">
        <f t="shared" ca="1" si="71"/>
        <v>AL</v>
      </c>
      <c r="BG106" s="86">
        <f t="shared" ca="1" si="72"/>
        <v>7.4063379739944979E-2</v>
      </c>
      <c r="BH106" s="86">
        <f t="shared" ca="1" si="73"/>
        <v>3.9005857173991007E-2</v>
      </c>
      <c r="BI106" s="87">
        <f t="shared" ca="1" si="74"/>
        <v>0.886930763086064</v>
      </c>
    </row>
    <row r="107" spans="1:61" x14ac:dyDescent="0.2">
      <c r="A107" s="52">
        <f>'ISL 8'!B108</f>
        <v>44621</v>
      </c>
      <c r="B107" s="54">
        <f>'ISL 8'!C108</f>
        <v>105</v>
      </c>
      <c r="C107" s="54" t="str">
        <f>'ISL 8'!D108</f>
        <v>Kerala Blasters</v>
      </c>
      <c r="D107" s="54">
        <f ca="1">IF('ISL 8'!E108&lt;&gt;"",'ISL 8'!E108,INDEX($AK$2:$AP$2,,MATCH($AW107,AK107:AP107,0)))</f>
        <v>4</v>
      </c>
      <c r="E107" s="54" t="str">
        <f>'ISL 8'!G108</f>
        <v>Mumbai City</v>
      </c>
      <c r="F107" s="54">
        <f ca="1">IF('ISL 8'!F108&lt;&gt;"",'ISL 8'!F108,INDEX($AQ$2:$AV$2,,MATCH($AX107,AQ107:AV107,0)))</f>
        <v>5</v>
      </c>
      <c r="G107" s="55">
        <f>VLOOKUP($C107,'ISL Total'!$D$5:$AH$15,25,0)</f>
        <v>1.7408543887928634</v>
      </c>
      <c r="H107" s="55">
        <f>VLOOKUP($C107,'ISL Total'!$D$5:$AH$15,28,0)</f>
        <v>1.6729569830909576</v>
      </c>
      <c r="I107" s="55">
        <f>VLOOKUP($E107,'ISL Total'!$D$5:$AH$15,26,0)</f>
        <v>2.4343333715027291</v>
      </c>
      <c r="J107" s="55">
        <f>VLOOKUP(E107,'ISL Total'!$D$5:$AH$15,29,0)</f>
        <v>1.9843487615958779</v>
      </c>
      <c r="K107" s="55">
        <f t="shared" si="58"/>
        <v>4.9461304286458692</v>
      </c>
      <c r="L107" s="55">
        <f t="shared" si="59"/>
        <v>5.4554928062674106</v>
      </c>
      <c r="M107" s="55">
        <f t="shared" ca="1" si="50"/>
        <v>4.6527204175698698</v>
      </c>
      <c r="N107" s="55">
        <v>4.8399912297580583</v>
      </c>
      <c r="O107" s="55">
        <v>4.8011157964462017</v>
      </c>
      <c r="P107" s="55">
        <v>4.7833145016180794</v>
      </c>
      <c r="Q107" s="55">
        <v>4.4259876741218926</v>
      </c>
      <c r="R107" s="55">
        <v>4.9044730993985794</v>
      </c>
      <c r="S107" s="55">
        <v>5.036597553797618</v>
      </c>
      <c r="T107" s="55">
        <v>4.7517739430632524</v>
      </c>
      <c r="U107" s="55">
        <v>4.9433951265634075</v>
      </c>
      <c r="V107" s="55">
        <v>4.8368375766949017</v>
      </c>
      <c r="W107" s="55">
        <v>4.7310183994270139</v>
      </c>
      <c r="X107" s="55">
        <f t="shared" ca="1" si="60"/>
        <v>4.7915659380417157</v>
      </c>
      <c r="Y107" s="55">
        <f t="shared" ca="1" si="51"/>
        <v>4.920005452141953</v>
      </c>
      <c r="Z107" s="55">
        <v>5.4470659312112915</v>
      </c>
      <c r="AA107" s="55">
        <v>5.2433191668973889</v>
      </c>
      <c r="AB107" s="55">
        <v>5.8475920143056044</v>
      </c>
      <c r="AC107" s="55">
        <v>5.5947726876532062</v>
      </c>
      <c r="AD107" s="55">
        <v>5.7181334947502549</v>
      </c>
      <c r="AE107" s="55">
        <v>5.4094396659952677</v>
      </c>
      <c r="AF107" s="55">
        <v>5.3439629442696894</v>
      </c>
      <c r="AG107" s="55">
        <v>5.7593758505102013</v>
      </c>
      <c r="AH107" s="55">
        <v>5.1037193429069134</v>
      </c>
      <c r="AI107" s="55">
        <v>5.5373150107317413</v>
      </c>
      <c r="AJ107" s="55">
        <f t="shared" ca="1" si="61"/>
        <v>5.447700141943046</v>
      </c>
      <c r="AK107" s="55">
        <f t="shared" ca="1" si="76"/>
        <v>8.2994507751166791E-3</v>
      </c>
      <c r="AL107" s="55">
        <f t="shared" ca="1" si="76"/>
        <v>3.9767365638502999E-2</v>
      </c>
      <c r="AM107" s="55">
        <f t="shared" ca="1" si="76"/>
        <v>9.5273977319550784E-2</v>
      </c>
      <c r="AN107" s="55">
        <f t="shared" ca="1" si="76"/>
        <v>0.15217051483537283</v>
      </c>
      <c r="AO107" s="55">
        <f t="shared" ca="1" si="76"/>
        <v>0.18228376391486101</v>
      </c>
      <c r="AP107" s="55">
        <f t="shared" ca="1" si="76"/>
        <v>0.17468493484649708</v>
      </c>
      <c r="AQ107" s="55">
        <f t="shared" ca="1" si="75"/>
        <v>0.17217837971872094</v>
      </c>
      <c r="AR107" s="55">
        <f t="shared" ca="1" si="75"/>
        <v>0.15802850306781904</v>
      </c>
      <c r="AS107" s="55">
        <f t="shared" ca="1" si="75"/>
        <v>0.11603318754725335</v>
      </c>
      <c r="AT107" s="55">
        <f t="shared" ca="1" si="75"/>
        <v>6.3898444035431504E-2</v>
      </c>
      <c r="AU107" s="55">
        <f t="shared" ca="1" si="75"/>
        <v>2.3458869750727755E-2</v>
      </c>
      <c r="AV107" s="55">
        <f t="shared" ca="1" si="75"/>
        <v>4.3061969527494245E-3</v>
      </c>
      <c r="AW107" s="55">
        <f t="shared" ca="1" si="62"/>
        <v>0.18228376391486101</v>
      </c>
      <c r="AX107" s="55">
        <f t="shared" ca="1" si="63"/>
        <v>0.17217837971872094</v>
      </c>
      <c r="AY107" s="54">
        <f t="shared" ca="1" si="64"/>
        <v>4</v>
      </c>
      <c r="AZ107" s="54">
        <f t="shared" ca="1" si="65"/>
        <v>5</v>
      </c>
      <c r="BA107" s="54" t="str">
        <f t="shared" si="66"/>
        <v>Kerala BlastersMumbai City</v>
      </c>
      <c r="BB107" s="54">
        <f t="shared" ca="1" si="67"/>
        <v>0</v>
      </c>
      <c r="BC107" s="54">
        <f t="shared" ca="1" si="68"/>
        <v>3</v>
      </c>
      <c r="BD107" s="54">
        <f t="shared" ca="1" si="69"/>
        <v>1</v>
      </c>
      <c r="BE107" s="54" t="str">
        <f t="shared" ca="1" si="70"/>
        <v>HL</v>
      </c>
      <c r="BF107" s="55" t="str">
        <f t="shared" ca="1" si="71"/>
        <v>AW</v>
      </c>
      <c r="BG107" s="86">
        <f t="shared" ca="1" si="72"/>
        <v>0.11851143695140484</v>
      </c>
      <c r="BH107" s="86">
        <f t="shared" ca="1" si="73"/>
        <v>8.3596324703495123E-2</v>
      </c>
      <c r="BI107" s="87">
        <f t="shared" ca="1" si="74"/>
        <v>0.79789223834510004</v>
      </c>
    </row>
    <row r="108" spans="1:61" x14ac:dyDescent="0.2">
      <c r="A108" s="52">
        <f>'ISL 8'!B109</f>
        <v>44622</v>
      </c>
      <c r="B108" s="54">
        <f>'ISL 8'!C109</f>
        <v>106</v>
      </c>
      <c r="C108" s="54" t="str">
        <f>'ISL 8'!D109</f>
        <v>Chennaiyin</v>
      </c>
      <c r="D108" s="54">
        <f ca="1">IF('ISL 8'!E109&lt;&gt;"",'ISL 8'!E109,INDEX($AK$2:$AP$2,,MATCH($AW108,AK108:AP108,0)))</f>
        <v>4</v>
      </c>
      <c r="E108" s="54" t="str">
        <f>'ISL 8'!G109</f>
        <v>ATK-MB</v>
      </c>
      <c r="F108" s="54">
        <f ca="1">IF('ISL 8'!F109&lt;&gt;"",'ISL 8'!F109,INDEX($AQ$2:$AV$2,,MATCH($AX108,AQ108:AV108,0)))</f>
        <v>5</v>
      </c>
      <c r="G108" s="55">
        <f>VLOOKUP($C108,'ISL Total'!$D$5:$AH$15,25,0)</f>
        <v>1.6923160070404248</v>
      </c>
      <c r="H108" s="55">
        <f>VLOOKUP($C108,'ISL Total'!$D$5:$AH$15,28,0)</f>
        <v>2.1914366960571012</v>
      </c>
      <c r="I108" s="55">
        <f>VLOOKUP($E108,'ISL Total'!$D$5:$AH$15,26,0)</f>
        <v>2.3848410244665827</v>
      </c>
      <c r="J108" s="55">
        <f>VLOOKUP(E108,'ISL Total'!$D$5:$AH$15,29,0)</f>
        <v>1.8807593937667644</v>
      </c>
      <c r="K108" s="55">
        <f t="shared" si="58"/>
        <v>4.5572181169656725</v>
      </c>
      <c r="L108" s="55">
        <f t="shared" si="59"/>
        <v>7.0009588388371595</v>
      </c>
      <c r="M108" s="55">
        <f t="shared" ca="1" si="50"/>
        <v>4.0788295877153509</v>
      </c>
      <c r="N108" s="55">
        <v>4.8626280568404301</v>
      </c>
      <c r="O108" s="55">
        <v>4.3965209491719497</v>
      </c>
      <c r="P108" s="55">
        <v>4.7062427743253048</v>
      </c>
      <c r="Q108" s="55">
        <v>4.7411922210767621</v>
      </c>
      <c r="R108" s="55">
        <v>4.8549658517074743</v>
      </c>
      <c r="S108" s="55">
        <v>4.6811336583100216</v>
      </c>
      <c r="T108" s="55">
        <v>4.9586427265091677</v>
      </c>
      <c r="U108" s="55">
        <v>4.5010147736542709</v>
      </c>
      <c r="V108" s="55">
        <v>4.4458982009029855</v>
      </c>
      <c r="W108" s="55">
        <v>4.3784064761638382</v>
      </c>
      <c r="X108" s="55">
        <f t="shared" ca="1" si="60"/>
        <v>4.6004977523979598</v>
      </c>
      <c r="Y108" s="55">
        <f t="shared" ca="1" si="51"/>
        <v>7.1975430516965</v>
      </c>
      <c r="Z108" s="55">
        <v>6.7035888894517939</v>
      </c>
      <c r="AA108" s="55">
        <v>7.1760303381867834</v>
      </c>
      <c r="AB108" s="55">
        <v>7.0397957455590223</v>
      </c>
      <c r="AC108" s="55">
        <v>7.3394396608966188</v>
      </c>
      <c r="AD108" s="55">
        <v>6.6376930224975492</v>
      </c>
      <c r="AE108" s="55">
        <v>6.6837646194427975</v>
      </c>
      <c r="AF108" s="55">
        <v>6.7615706098785999</v>
      </c>
      <c r="AG108" s="55">
        <v>6.9160760234606151</v>
      </c>
      <c r="AH108" s="55">
        <v>7.1114204919467054</v>
      </c>
      <c r="AI108" s="55">
        <v>6.8224724362332578</v>
      </c>
      <c r="AJ108" s="55">
        <f t="shared" ca="1" si="61"/>
        <v>6.944490444477295</v>
      </c>
      <c r="AK108" s="55">
        <f t="shared" ca="1" si="76"/>
        <v>1.004683366428981E-2</v>
      </c>
      <c r="AL108" s="55">
        <f t="shared" ca="1" si="76"/>
        <v>4.6220435691281439E-2</v>
      </c>
      <c r="AM108" s="55">
        <f t="shared" ca="1" si="76"/>
        <v>0.10631850525629735</v>
      </c>
      <c r="AN108" s="55">
        <f t="shared" ca="1" si="76"/>
        <v>0.16303934815663559</v>
      </c>
      <c r="AO108" s="55">
        <f t="shared" ca="1" si="76"/>
        <v>0.18751553868675758</v>
      </c>
      <c r="AP108" s="55">
        <f t="shared" ca="1" si="76"/>
        <v>0.17253296285362416</v>
      </c>
      <c r="AQ108" s="55">
        <f t="shared" ca="1" si="75"/>
        <v>0.12973788018021723</v>
      </c>
      <c r="AR108" s="55">
        <f t="shared" ca="1" si="75"/>
        <v>9.3410654977135965E-2</v>
      </c>
      <c r="AS108" s="55">
        <f t="shared" ca="1" si="75"/>
        <v>5.3804180867681732E-2</v>
      </c>
      <c r="AT108" s="55">
        <f t="shared" ca="1" si="75"/>
        <v>2.3243252171426178E-2</v>
      </c>
      <c r="AU108" s="55">
        <f t="shared" ca="1" si="75"/>
        <v>6.6940122842017013E-3</v>
      </c>
      <c r="AV108" s="55">
        <f t="shared" ca="1" si="75"/>
        <v>9.6393138383899857E-4</v>
      </c>
      <c r="AW108" s="55">
        <f t="shared" ca="1" si="62"/>
        <v>0.18751553868675758</v>
      </c>
      <c r="AX108" s="55">
        <f t="shared" ca="1" si="63"/>
        <v>0.12973788018021723</v>
      </c>
      <c r="AY108" s="54">
        <f t="shared" ca="1" si="64"/>
        <v>4</v>
      </c>
      <c r="AZ108" s="54">
        <f t="shared" ca="1" si="65"/>
        <v>5</v>
      </c>
      <c r="BA108" s="54" t="str">
        <f t="shared" si="66"/>
        <v>ChennaiyinATK-MB</v>
      </c>
      <c r="BB108" s="54">
        <f t="shared" ca="1" si="67"/>
        <v>0</v>
      </c>
      <c r="BC108" s="54">
        <f t="shared" ca="1" si="68"/>
        <v>3</v>
      </c>
      <c r="BD108" s="54">
        <f t="shared" ca="1" si="69"/>
        <v>1</v>
      </c>
      <c r="BE108" s="54" t="str">
        <f t="shared" ca="1" si="70"/>
        <v>HL</v>
      </c>
      <c r="BF108" s="55" t="str">
        <f t="shared" ca="1" si="71"/>
        <v>AW</v>
      </c>
      <c r="BG108" s="86">
        <f t="shared" ca="1" si="72"/>
        <v>5.251130630071308E-2</v>
      </c>
      <c r="BH108" s="86">
        <f t="shared" ca="1" si="73"/>
        <v>5.1462481176467449E-2</v>
      </c>
      <c r="BI108" s="87">
        <f t="shared" ca="1" si="74"/>
        <v>0.89602621252281944</v>
      </c>
    </row>
    <row r="109" spans="1:61" x14ac:dyDescent="0.2">
      <c r="A109" s="52">
        <f>'ISL 8'!B110</f>
        <v>44623</v>
      </c>
      <c r="B109" s="54">
        <f>'ISL 8'!C110</f>
        <v>107</v>
      </c>
      <c r="C109" s="54" t="str">
        <f>'ISL 8'!D110</f>
        <v>Jamshedpur</v>
      </c>
      <c r="D109" s="54">
        <f ca="1">IF('ISL 8'!E110&lt;&gt;"",'ISL 8'!E110,INDEX($AK$2:$AP$2,,MATCH($AW109,AK109:AP109,0)))</f>
        <v>3</v>
      </c>
      <c r="E109" s="54" t="str">
        <f>'ISL 8'!G110</f>
        <v>Odisha</v>
      </c>
      <c r="F109" s="54">
        <f ca="1">IF('ISL 8'!F110&lt;&gt;"",'ISL 8'!F110,INDEX($AQ$2:$AV$2,,MATCH($AX109,AQ109:AV109,0)))</f>
        <v>1</v>
      </c>
      <c r="G109" s="55">
        <f>VLOOKUP($C109,'ISL Total'!$D$5:$AH$15,25,0)</f>
        <v>1.6665097487371039</v>
      </c>
      <c r="H109" s="55">
        <f>VLOOKUP($C109,'ISL Total'!$D$5:$AH$15,28,0)</f>
        <v>1.5979083171113402</v>
      </c>
      <c r="I109" s="55">
        <f>VLOOKUP($E109,'ISL Total'!$D$5:$AH$15,26,0)</f>
        <v>0.79788732394366213</v>
      </c>
      <c r="J109" s="55">
        <f>VLOOKUP(E109,'ISL Total'!$D$5:$AH$15,29,0)</f>
        <v>1.3928240740740743</v>
      </c>
      <c r="K109" s="55">
        <f t="shared" si="58"/>
        <v>3.3234506665940247</v>
      </c>
      <c r="L109" s="55">
        <f t="shared" si="59"/>
        <v>1.7079005697077787</v>
      </c>
      <c r="M109" s="55">
        <f t="shared" ca="1" si="50"/>
        <v>3.4032794742791035</v>
      </c>
      <c r="N109" s="55">
        <v>3.2121300970434414</v>
      </c>
      <c r="O109" s="55">
        <v>3.431462740422806</v>
      </c>
      <c r="P109" s="55">
        <v>3.5330660830803753</v>
      </c>
      <c r="Q109" s="55">
        <v>3.6843992889909609</v>
      </c>
      <c r="R109" s="55">
        <v>3.4262230087447887</v>
      </c>
      <c r="S109" s="55">
        <v>2.9420956286095903</v>
      </c>
      <c r="T109" s="55">
        <v>3.4861639850063115</v>
      </c>
      <c r="U109" s="55">
        <v>3.1683439203028128</v>
      </c>
      <c r="V109" s="55">
        <v>2.932032968878219</v>
      </c>
      <c r="W109" s="55">
        <v>3.398836858459187</v>
      </c>
      <c r="X109" s="55">
        <f t="shared" ca="1" si="60"/>
        <v>3.3289121867106899</v>
      </c>
      <c r="Y109" s="55">
        <f t="shared" ca="1" si="51"/>
        <v>2.0522750973593515</v>
      </c>
      <c r="Z109" s="55">
        <v>1.5291227328407702</v>
      </c>
      <c r="AA109" s="55">
        <v>1.4904292708893172</v>
      </c>
      <c r="AB109" s="55">
        <v>1.9555742999870342</v>
      </c>
      <c r="AC109" s="55">
        <v>2.1749073115935778</v>
      </c>
      <c r="AD109" s="55">
        <v>1.4786594933449912</v>
      </c>
      <c r="AE109" s="55">
        <v>1.883518883339802</v>
      </c>
      <c r="AF109" s="55">
        <v>1.8921679669849318</v>
      </c>
      <c r="AG109" s="55">
        <v>1.6869280117047845</v>
      </c>
      <c r="AH109" s="55">
        <v>1.3482286672788686</v>
      </c>
      <c r="AI109" s="55">
        <v>1.4885646310609513</v>
      </c>
      <c r="AJ109" s="55">
        <f t="shared" ca="1" si="61"/>
        <v>1.7254887605803979</v>
      </c>
      <c r="AK109" s="55">
        <f t="shared" ca="1" si="76"/>
        <v>3.5832062468361021E-2</v>
      </c>
      <c r="AL109" s="55">
        <f t="shared" ca="1" si="76"/>
        <v>0.11928178942590573</v>
      </c>
      <c r="AM109" s="55">
        <f t="shared" ca="1" si="76"/>
        <v>0.19853930123627797</v>
      </c>
      <c r="AN109" s="55">
        <f t="shared" ca="1" si="76"/>
        <v>0.22030663314215687</v>
      </c>
      <c r="AO109" s="55">
        <f t="shared" ca="1" si="76"/>
        <v>0.18334535897003179</v>
      </c>
      <c r="AP109" s="55">
        <f t="shared" ca="1" si="76"/>
        <v>0.12206811997043698</v>
      </c>
      <c r="AQ109" s="55">
        <f t="shared" ca="1" si="75"/>
        <v>2.2699128341689169E-2</v>
      </c>
      <c r="AR109" s="55">
        <f t="shared" ca="1" si="75"/>
        <v>6.5775937984243707E-2</v>
      </c>
      <c r="AS109" s="55">
        <f t="shared" ca="1" si="75"/>
        <v>0.15248071036317593</v>
      </c>
      <c r="AT109" s="55">
        <f t="shared" ca="1" si="75"/>
        <v>0.26510872834411225</v>
      </c>
      <c r="AU109" s="55">
        <f t="shared" ca="1" si="75"/>
        <v>0.30728537258618632</v>
      </c>
      <c r="AV109" s="55">
        <f t="shared" ca="1" si="75"/>
        <v>0.17808598908684031</v>
      </c>
      <c r="AW109" s="55">
        <f t="shared" ca="1" si="62"/>
        <v>0.22030663314215687</v>
      </c>
      <c r="AX109" s="55">
        <f t="shared" ca="1" si="63"/>
        <v>0.30728537258618632</v>
      </c>
      <c r="AY109" s="54">
        <f t="shared" ca="1" si="64"/>
        <v>3</v>
      </c>
      <c r="AZ109" s="54">
        <f t="shared" ca="1" si="65"/>
        <v>1</v>
      </c>
      <c r="BA109" s="54" t="str">
        <f t="shared" si="66"/>
        <v>JamshedpurOdisha</v>
      </c>
      <c r="BB109" s="54">
        <f t="shared" ca="1" si="67"/>
        <v>3</v>
      </c>
      <c r="BC109" s="54">
        <f t="shared" ca="1" si="68"/>
        <v>0</v>
      </c>
      <c r="BD109" s="54">
        <f t="shared" ca="1" si="69"/>
        <v>2</v>
      </c>
      <c r="BE109" s="54" t="str">
        <f t="shared" ca="1" si="70"/>
        <v>HW</v>
      </c>
      <c r="BF109" s="55" t="str">
        <f t="shared" ca="1" si="71"/>
        <v>AL</v>
      </c>
      <c r="BG109" s="86">
        <f t="shared" ca="1" si="72"/>
        <v>0.56674899278857349</v>
      </c>
      <c r="BH109" s="86">
        <f t="shared" ca="1" si="73"/>
        <v>0.14409230387144931</v>
      </c>
      <c r="BI109" s="87">
        <f t="shared" ca="1" si="74"/>
        <v>0.28915870333997717</v>
      </c>
    </row>
    <row r="110" spans="1:61" x14ac:dyDescent="0.2">
      <c r="A110" s="52">
        <f>'ISL 8'!B111</f>
        <v>44624</v>
      </c>
      <c r="B110" s="54">
        <f>'ISL 8'!C111</f>
        <v>108</v>
      </c>
      <c r="C110" s="54" t="str">
        <f>'ISL 8'!D111</f>
        <v>East Bengal</v>
      </c>
      <c r="D110" s="54">
        <f ca="1">IF('ISL 8'!E111&lt;&gt;"",'ISL 8'!E111,INDEX($AK$2:$AP$2,,MATCH($AW110,AK110:AP110,0)))</f>
        <v>5</v>
      </c>
      <c r="E110" s="54" t="str">
        <f>'ISL 8'!G111</f>
        <v>Bengaluru</v>
      </c>
      <c r="F110" s="54">
        <f ca="1">IF('ISL 8'!F111&lt;&gt;"",'ISL 8'!F111,INDEX($AQ$2:$AV$2,,MATCH($AX110,AQ110:AV110,0)))</f>
        <v>5</v>
      </c>
      <c r="G110" s="55">
        <f>VLOOKUP($C110,'ISL Total'!$D$5:$AH$15,25,0)</f>
        <v>2.2983657473042753</v>
      </c>
      <c r="H110" s="55">
        <f>VLOOKUP($C110,'ISL Total'!$D$5:$AH$15,28,0)</f>
        <v>2.2682850490476736</v>
      </c>
      <c r="I110" s="55">
        <f>VLOOKUP($E110,'ISL Total'!$D$5:$AH$15,26,0)</f>
        <v>2.137197984655903</v>
      </c>
      <c r="J110" s="55">
        <f>VLOOKUP(E110,'ISL Total'!$D$5:$AH$15,29,0)</f>
        <v>1.6538618669066225</v>
      </c>
      <c r="K110" s="55">
        <f t="shared" si="58"/>
        <v>5.4425632866791904</v>
      </c>
      <c r="L110" s="55">
        <f t="shared" si="59"/>
        <v>6.493988973282911</v>
      </c>
      <c r="M110" s="55">
        <f t="shared" ca="1" si="50"/>
        <v>5.5076929008331454</v>
      </c>
      <c r="N110" s="55">
        <v>5.524597684393985</v>
      </c>
      <c r="O110" s="55">
        <v>5.6062651729592963</v>
      </c>
      <c r="P110" s="55">
        <v>5.1682186957066634</v>
      </c>
      <c r="Q110" s="55">
        <v>5.4345506461205142</v>
      </c>
      <c r="R110" s="55">
        <v>5.145306999854709</v>
      </c>
      <c r="S110" s="55">
        <v>5.4072934912258361</v>
      </c>
      <c r="T110" s="55">
        <v>5.0519309251755695</v>
      </c>
      <c r="U110" s="55">
        <v>5.3913943690427093</v>
      </c>
      <c r="V110" s="55">
        <v>5.3802733507405991</v>
      </c>
      <c r="W110" s="55">
        <v>6.089913694343787</v>
      </c>
      <c r="X110" s="55">
        <f t="shared" ca="1" si="60"/>
        <v>5.4279489027633465</v>
      </c>
      <c r="Y110" s="55">
        <f t="shared" ca="1" si="51"/>
        <v>6.4201068397512415</v>
      </c>
      <c r="Z110" s="55">
        <v>6.6892588771305297</v>
      </c>
      <c r="AA110" s="55">
        <v>6.4597148216854325</v>
      </c>
      <c r="AB110" s="55">
        <v>6.789900465757027</v>
      </c>
      <c r="AC110" s="55">
        <v>6.5148934463029091</v>
      </c>
      <c r="AD110" s="55">
        <v>6.3250772947791036</v>
      </c>
      <c r="AE110" s="55">
        <v>6.640308450228007</v>
      </c>
      <c r="AF110" s="55">
        <v>6.606508901819006</v>
      </c>
      <c r="AG110" s="55">
        <v>6.2612902853617207</v>
      </c>
      <c r="AH110" s="55">
        <v>6.7564293774325517</v>
      </c>
      <c r="AI110" s="55">
        <v>6.1163020292479331</v>
      </c>
      <c r="AJ110" s="55">
        <f t="shared" ca="1" si="61"/>
        <v>6.5072537081359512</v>
      </c>
      <c r="AK110" s="55">
        <f t="shared" ca="1" si="76"/>
        <v>4.3920951845061919E-3</v>
      </c>
      <c r="AL110" s="55">
        <f t="shared" ca="1" si="76"/>
        <v>2.3840068237572565E-2</v>
      </c>
      <c r="AM110" s="55">
        <f t="shared" ca="1" si="76"/>
        <v>6.4701336115967664E-2</v>
      </c>
      <c r="AN110" s="55">
        <f t="shared" ca="1" si="76"/>
        <v>0.11706518212599636</v>
      </c>
      <c r="AO110" s="55">
        <f t="shared" ca="1" si="76"/>
        <v>0.15885595671814834</v>
      </c>
      <c r="AP110" s="55">
        <f t="shared" ca="1" si="76"/>
        <v>0.17245240319313898</v>
      </c>
      <c r="AQ110" s="55">
        <f t="shared" ca="1" si="75"/>
        <v>0.14512528110276998</v>
      </c>
      <c r="AR110" s="55">
        <f t="shared" ca="1" si="75"/>
        <v>0.11151039102818551</v>
      </c>
      <c r="AS110" s="55">
        <f t="shared" ca="1" si="75"/>
        <v>6.8545285633332675E-2</v>
      </c>
      <c r="AT110" s="55">
        <f t="shared" ca="1" si="75"/>
        <v>3.1601020357158296E-2</v>
      </c>
      <c r="AU110" s="55">
        <f t="shared" ca="1" si="75"/>
        <v>9.7125521070887001E-3</v>
      </c>
      <c r="AV110" s="55">
        <f t="shared" ca="1" si="75"/>
        <v>1.4925731411002461E-3</v>
      </c>
      <c r="AW110" s="55">
        <f t="shared" ca="1" si="62"/>
        <v>0.17245240319313898</v>
      </c>
      <c r="AX110" s="55">
        <f t="shared" ca="1" si="63"/>
        <v>0.14512528110276998</v>
      </c>
      <c r="AY110" s="54">
        <f t="shared" ca="1" si="64"/>
        <v>5</v>
      </c>
      <c r="AZ110" s="54">
        <f t="shared" ca="1" si="65"/>
        <v>5</v>
      </c>
      <c r="BA110" s="54" t="str">
        <f t="shared" si="66"/>
        <v>East BengalBengaluru</v>
      </c>
      <c r="BB110" s="54">
        <f t="shared" ca="1" si="67"/>
        <v>1</v>
      </c>
      <c r="BC110" s="54">
        <f t="shared" ca="1" si="68"/>
        <v>1</v>
      </c>
      <c r="BD110" s="54">
        <f t="shared" ca="1" si="69"/>
        <v>0</v>
      </c>
      <c r="BE110" s="54" t="str">
        <f t="shared" ca="1" si="70"/>
        <v>HD</v>
      </c>
      <c r="BF110" s="55" t="str">
        <f t="shared" ca="1" si="71"/>
        <v>AD</v>
      </c>
      <c r="BG110" s="86">
        <f t="shared" ca="1" si="72"/>
        <v>6.1893573823118643E-2</v>
      </c>
      <c r="BH110" s="86">
        <f t="shared" ca="1" si="73"/>
        <v>5.3048291355629849E-2</v>
      </c>
      <c r="BI110" s="87">
        <f t="shared" ca="1" si="74"/>
        <v>0.88505813482125151</v>
      </c>
    </row>
    <row r="111" spans="1:61" x14ac:dyDescent="0.2">
      <c r="A111" s="52">
        <f>'ISL 8'!B112</f>
        <v>44625</v>
      </c>
      <c r="B111" s="54">
        <f>'ISL 8'!C112</f>
        <v>109</v>
      </c>
      <c r="C111" s="54" t="str">
        <f>'ISL 8'!D112</f>
        <v>Hyderabad</v>
      </c>
      <c r="D111" s="54">
        <f ca="1">IF('ISL 8'!E112&lt;&gt;"",'ISL 8'!E112,INDEX($AK$2:$AP$2,,MATCH($AW111,AK111:AP111,0)))</f>
        <v>5</v>
      </c>
      <c r="E111" s="54" t="str">
        <f>'ISL 8'!G112</f>
        <v>Mumbai City</v>
      </c>
      <c r="F111" s="54">
        <f ca="1">IF('ISL 8'!F112&lt;&gt;"",'ISL 8'!F112,INDEX($AQ$2:$AV$2,,MATCH($AX111,AQ111:AV111,0)))</f>
        <v>5</v>
      </c>
      <c r="G111" s="55">
        <f>VLOOKUP($C111,'ISL Total'!$D$5:$AH$15,25,0)</f>
        <v>2.6008540597170162</v>
      </c>
      <c r="H111" s="55">
        <f>VLOOKUP($C111,'ISL Total'!$D$5:$AH$15,28,0)</f>
        <v>1.7011584411618765</v>
      </c>
      <c r="I111" s="55">
        <f>VLOOKUP($E111,'ISL Total'!$D$5:$AH$15,26,0)</f>
        <v>2.4343333715027291</v>
      </c>
      <c r="J111" s="55">
        <f>VLOOKUP(E111,'ISL Total'!$D$5:$AH$15,29,0)</f>
        <v>1.9843487615958779</v>
      </c>
      <c r="K111" s="55">
        <f t="shared" si="58"/>
        <v>7.389568873795179</v>
      </c>
      <c r="L111" s="55">
        <f t="shared" si="59"/>
        <v>5.5474574253145139</v>
      </c>
      <c r="M111" s="55">
        <f t="shared" ca="1" si="50"/>
        <v>7.0959083519103965</v>
      </c>
      <c r="N111" s="55">
        <v>6.9433464830179243</v>
      </c>
      <c r="O111" s="55">
        <v>7.0744972589093447</v>
      </c>
      <c r="P111" s="55">
        <v>7.2697309778942207</v>
      </c>
      <c r="Q111" s="55">
        <v>6.9939025603636944</v>
      </c>
      <c r="R111" s="55">
        <v>7.3007903722516616</v>
      </c>
      <c r="S111" s="55">
        <v>7.6768938314232482</v>
      </c>
      <c r="T111" s="55">
        <v>7.10602699322334</v>
      </c>
      <c r="U111" s="55">
        <v>7.1306503445847396</v>
      </c>
      <c r="V111" s="55">
        <v>7.8072283311974742</v>
      </c>
      <c r="W111" s="55">
        <v>7.6730461995009884</v>
      </c>
      <c r="X111" s="55">
        <f t="shared" ca="1" si="60"/>
        <v>7.2792747003888216</v>
      </c>
      <c r="Y111" s="55">
        <f t="shared" ca="1" si="51"/>
        <v>5.5488522888254703</v>
      </c>
      <c r="Z111" s="55">
        <v>5.8989374895334903</v>
      </c>
      <c r="AA111" s="55">
        <v>5.7024542259484985</v>
      </c>
      <c r="AB111" s="55">
        <v>5.474201963894811</v>
      </c>
      <c r="AC111" s="55">
        <v>5.6621359621552436</v>
      </c>
      <c r="AD111" s="55">
        <v>5.856170194484597</v>
      </c>
      <c r="AE111" s="55">
        <v>5.5732803980070464</v>
      </c>
      <c r="AF111" s="55">
        <v>5.615109651365211</v>
      </c>
      <c r="AG111" s="55">
        <v>5.2794415305024058</v>
      </c>
      <c r="AH111" s="55">
        <v>5.3861500181921169</v>
      </c>
      <c r="AI111" s="55">
        <v>5.748729612893511</v>
      </c>
      <c r="AJ111" s="55">
        <f t="shared" ca="1" si="61"/>
        <v>5.6132239396184005</v>
      </c>
      <c r="AK111" s="55">
        <f t="shared" ca="1" si="76"/>
        <v>6.8968561103431938E-4</v>
      </c>
      <c r="AL111" s="55">
        <f t="shared" ca="1" si="76"/>
        <v>5.0204110196243263E-3</v>
      </c>
      <c r="AM111" s="55">
        <f t="shared" ca="1" si="76"/>
        <v>1.8272475460352305E-2</v>
      </c>
      <c r="AN111" s="55">
        <f t="shared" ca="1" si="76"/>
        <v>4.4336789444006035E-2</v>
      </c>
      <c r="AO111" s="55">
        <f t="shared" ca="1" si="76"/>
        <v>8.0684917424054856E-2</v>
      </c>
      <c r="AP111" s="55">
        <f t="shared" ca="1" si="76"/>
        <v>0.11746553562157672</v>
      </c>
      <c r="AQ111" s="55">
        <f t="shared" ca="1" si="75"/>
        <v>0.16946827741395831</v>
      </c>
      <c r="AR111" s="55">
        <f t="shared" ca="1" si="75"/>
        <v>0.15095449534610866</v>
      </c>
      <c r="AS111" s="55">
        <f t="shared" ca="1" si="75"/>
        <v>0.10757062035645128</v>
      </c>
      <c r="AT111" s="55">
        <f t="shared" ca="1" si="75"/>
        <v>5.7491356935118552E-2</v>
      </c>
      <c r="AU111" s="55">
        <f t="shared" ca="1" si="75"/>
        <v>2.0484255591280372E-2</v>
      </c>
      <c r="AV111" s="55">
        <f t="shared" ca="1" si="75"/>
        <v>3.6492852969398797E-3</v>
      </c>
      <c r="AW111" s="55">
        <f t="shared" ca="1" si="62"/>
        <v>0.11746553562157672</v>
      </c>
      <c r="AX111" s="55">
        <f t="shared" ca="1" si="63"/>
        <v>0.16946827741395831</v>
      </c>
      <c r="AY111" s="54">
        <f t="shared" ca="1" si="64"/>
        <v>5</v>
      </c>
      <c r="AZ111" s="54">
        <f t="shared" ca="1" si="65"/>
        <v>5</v>
      </c>
      <c r="BA111" s="54" t="str">
        <f t="shared" si="66"/>
        <v>HyderabadMumbai City</v>
      </c>
      <c r="BB111" s="54">
        <f t="shared" ca="1" si="67"/>
        <v>1</v>
      </c>
      <c r="BC111" s="54">
        <f t="shared" ca="1" si="68"/>
        <v>1</v>
      </c>
      <c r="BD111" s="54">
        <f t="shared" ca="1" si="69"/>
        <v>0</v>
      </c>
      <c r="BE111" s="54" t="str">
        <f t="shared" ca="1" si="70"/>
        <v>HD</v>
      </c>
      <c r="BF111" s="55" t="str">
        <f t="shared" ca="1" si="71"/>
        <v>AD</v>
      </c>
      <c r="BG111" s="86">
        <f t="shared" ca="1" si="72"/>
        <v>5.9299414645795689E-2</v>
      </c>
      <c r="BH111" s="86">
        <f t="shared" ca="1" si="73"/>
        <v>3.801163456503074E-2</v>
      </c>
      <c r="BI111" s="87">
        <f t="shared" ca="1" si="74"/>
        <v>0.90268895078917355</v>
      </c>
    </row>
    <row r="112" spans="1:61" x14ac:dyDescent="0.2">
      <c r="A112" s="52">
        <f>'ISL 8'!B113</f>
        <v>44626</v>
      </c>
      <c r="B112" s="54">
        <f>'ISL 8'!C113</f>
        <v>110</v>
      </c>
      <c r="C112" s="54" t="str">
        <f>'ISL 8'!D113</f>
        <v>Goa</v>
      </c>
      <c r="D112" s="54">
        <f ca="1">IF('ISL 8'!E113&lt;&gt;"",'ISL 8'!E113,INDEX($AK$2:$AP$2,,MATCH($AW112,AK112:AP112,0)))</f>
        <v>5</v>
      </c>
      <c r="E112" s="54" t="str">
        <f>'ISL 8'!G113</f>
        <v>Kerala Blasters</v>
      </c>
      <c r="F112" s="54">
        <f ca="1">IF('ISL 8'!F113&lt;&gt;"",'ISL 8'!F113,INDEX($AQ$2:$AV$2,,MATCH($AX112,AQ112:AV112,0)))</f>
        <v>5</v>
      </c>
      <c r="G112" s="55">
        <f>VLOOKUP($C112,'ISL Total'!$D$5:$AH$15,25,0)</f>
        <v>1.7934931050517995</v>
      </c>
      <c r="H112" s="55">
        <f>VLOOKUP($C112,'ISL Total'!$D$5:$AH$15,28,0)</f>
        <v>2.0847265162792477</v>
      </c>
      <c r="I112" s="55">
        <f>VLOOKUP($E112,'ISL Total'!$D$5:$AH$15,26,0)</f>
        <v>2.1526909424023817</v>
      </c>
      <c r="J112" s="55">
        <f>VLOOKUP(E112,'ISL Total'!$D$5:$AH$15,29,0)</f>
        <v>1.99017477973497</v>
      </c>
      <c r="K112" s="55">
        <f t="shared" si="58"/>
        <v>5.1106488643841459</v>
      </c>
      <c r="L112" s="55">
        <f t="shared" si="59"/>
        <v>6.0117364683637504</v>
      </c>
      <c r="M112" s="55">
        <f t="shared" ca="1" si="50"/>
        <v>5.3838218832861919</v>
      </c>
      <c r="N112" s="55">
        <v>4.7318476682029225</v>
      </c>
      <c r="O112" s="55">
        <v>5.2468173472347575</v>
      </c>
      <c r="P112" s="55">
        <v>5.1244210639442311</v>
      </c>
      <c r="Q112" s="55">
        <v>5.0506266769748303</v>
      </c>
      <c r="R112" s="55">
        <v>4.5715295160117355</v>
      </c>
      <c r="S112" s="55">
        <v>5.4532606328668578</v>
      </c>
      <c r="T112" s="55">
        <v>5.0682780586428047</v>
      </c>
      <c r="U112" s="55">
        <v>5.1665277238251548</v>
      </c>
      <c r="V112" s="55">
        <v>5.2767167998678843</v>
      </c>
      <c r="W112" s="55">
        <v>5.2337836193342708</v>
      </c>
      <c r="X112" s="55">
        <f t="shared" ca="1" si="60"/>
        <v>5.1188755445628766</v>
      </c>
      <c r="Y112" s="55">
        <f t="shared" ca="1" si="51"/>
        <v>6.0435893862077608</v>
      </c>
      <c r="Z112" s="55">
        <v>5.7129372241996919</v>
      </c>
      <c r="AA112" s="55">
        <v>6.1703199090383816</v>
      </c>
      <c r="AB112" s="55">
        <v>6.1215783593125099</v>
      </c>
      <c r="AC112" s="55">
        <v>5.5204293514745499</v>
      </c>
      <c r="AD112" s="55">
        <v>6.7150344357399208</v>
      </c>
      <c r="AE112" s="55">
        <v>6.1614189974549856</v>
      </c>
      <c r="AF112" s="55">
        <v>6.2395103013733983</v>
      </c>
      <c r="AG112" s="55">
        <v>6.0878903324208329</v>
      </c>
      <c r="AH112" s="55">
        <v>5.88809500685075</v>
      </c>
      <c r="AI112" s="55">
        <v>5.8993947399710533</v>
      </c>
      <c r="AJ112" s="55">
        <f t="shared" ca="1" si="61"/>
        <v>6.0509270949130753</v>
      </c>
      <c r="AK112" s="55">
        <f t="shared" ca="1" si="76"/>
        <v>5.982746445900849E-3</v>
      </c>
      <c r="AL112" s="55">
        <f t="shared" ca="1" si="76"/>
        <v>3.0624934471242326E-2</v>
      </c>
      <c r="AM112" s="55">
        <f t="shared" ca="1" si="76"/>
        <v>7.8382614059341479E-2</v>
      </c>
      <c r="AN112" s="55">
        <f t="shared" ca="1" si="76"/>
        <v>0.13374361540909116</v>
      </c>
      <c r="AO112" s="55">
        <f t="shared" ca="1" si="76"/>
        <v>0.17115423053975484</v>
      </c>
      <c r="AP112" s="55">
        <f t="shared" ca="1" si="76"/>
        <v>0.17522344101168552</v>
      </c>
      <c r="AQ112" s="55">
        <f t="shared" ca="1" si="75"/>
        <v>0.15923704434390692</v>
      </c>
      <c r="AR112" s="55">
        <f t="shared" ca="1" si="75"/>
        <v>0.13158069982182991</v>
      </c>
      <c r="AS112" s="55">
        <f t="shared" ca="1" si="75"/>
        <v>8.6982174967831186E-2</v>
      </c>
      <c r="AT112" s="55">
        <f t="shared" ca="1" si="75"/>
        <v>4.3125048576914349E-2</v>
      </c>
      <c r="AU112" s="55">
        <f t="shared" ca="1" si="75"/>
        <v>1.425403013471074E-2</v>
      </c>
      <c r="AV112" s="55">
        <f t="shared" ca="1" si="75"/>
        <v>2.3556770576022793E-3</v>
      </c>
      <c r="AW112" s="55">
        <f t="shared" ca="1" si="62"/>
        <v>0.17522344101168552</v>
      </c>
      <c r="AX112" s="55">
        <f t="shared" ca="1" si="63"/>
        <v>0.15923704434390692</v>
      </c>
      <c r="AY112" s="54">
        <f t="shared" ca="1" si="64"/>
        <v>5</v>
      </c>
      <c r="AZ112" s="54">
        <f t="shared" ca="1" si="65"/>
        <v>5</v>
      </c>
      <c r="BA112" s="54" t="str">
        <f t="shared" si="66"/>
        <v>GoaKerala Blasters</v>
      </c>
      <c r="BB112" s="54">
        <f t="shared" ca="1" si="67"/>
        <v>1</v>
      </c>
      <c r="BC112" s="54">
        <f t="shared" ca="1" si="68"/>
        <v>1</v>
      </c>
      <c r="BD112" s="54">
        <f t="shared" ca="1" si="69"/>
        <v>0</v>
      </c>
      <c r="BE112" s="54" t="str">
        <f t="shared" ca="1" si="70"/>
        <v>HD</v>
      </c>
      <c r="BF112" s="55" t="str">
        <f t="shared" ca="1" si="71"/>
        <v>AD</v>
      </c>
      <c r="BG112" s="86">
        <f t="shared" ca="1" si="72"/>
        <v>8.3238688765556762E-2</v>
      </c>
      <c r="BH112" s="86">
        <f t="shared" ca="1" si="73"/>
        <v>6.5886843030966702E-2</v>
      </c>
      <c r="BI112" s="87">
        <f t="shared" ca="1" si="74"/>
        <v>0.85087446820347656</v>
      </c>
    </row>
  </sheetData>
  <conditionalFormatting sqref="A3:A112">
    <cfRule type="cellIs" dxfId="2" priority="1" operator="greaterThan">
      <formula>$A$1</formula>
    </cfRule>
  </conditionalFormatting>
  <pageMargins left="0.7" right="0.7" top="0.75" bottom="0.75" header="0.3" footer="0.3"/>
  <pageSetup paperSize="9" orientation="portrait" horizontalDpi="0" verticalDpi="0"/>
  <ignoredErrors>
    <ignoredError sqref="K27:L27" formula="1"/>
    <ignoredError sqref="D58 F58:I58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D75B3-942A-0E42-A250-7F5AADFCF720}">
  <sheetPr codeName="Sheet13"/>
  <dimension ref="A1:L106"/>
  <sheetViews>
    <sheetView workbookViewId="0">
      <selection activeCell="A6" sqref="A6"/>
    </sheetView>
  </sheetViews>
  <sheetFormatPr baseColWidth="10" defaultColWidth="11" defaultRowHeight="16" outlineLevelRow="1" x14ac:dyDescent="0.2"/>
  <cols>
    <col min="1" max="1" width="13" bestFit="1" customWidth="1"/>
    <col min="2" max="2" width="7.1640625" bestFit="1" customWidth="1"/>
    <col min="3" max="3" width="12" bestFit="1" customWidth="1"/>
    <col min="4" max="4" width="12.5" bestFit="1" customWidth="1"/>
    <col min="5" max="5" width="12.5" customWidth="1"/>
    <col min="6" max="6" width="7" bestFit="1" customWidth="1"/>
    <col min="7" max="7" width="12.33203125" bestFit="1" customWidth="1"/>
    <col min="8" max="8" width="13.5" bestFit="1" customWidth="1"/>
    <col min="9" max="9" width="16" bestFit="1" customWidth="1"/>
    <col min="10" max="10" width="14" bestFit="1" customWidth="1"/>
    <col min="11" max="11" width="18" bestFit="1" customWidth="1"/>
    <col min="12" max="12" width="9.33203125" bestFit="1" customWidth="1"/>
  </cols>
  <sheetData>
    <row r="1" spans="1:12" x14ac:dyDescent="0.2">
      <c r="C1" s="39" t="s">
        <v>37</v>
      </c>
      <c r="D1" s="39">
        <v>1.5</v>
      </c>
      <c r="E1" s="39"/>
    </row>
    <row r="2" spans="1:12" x14ac:dyDescent="0.2">
      <c r="A2" t="s">
        <v>64</v>
      </c>
      <c r="B2" s="78">
        <f ca="1">SUMIF('Monte Carlo Matches'!$C:$C,B$4,'Monte Carlo Matches'!$D:$D)+SUMIF('Monte Carlo Matches'!$E:$E,B$4,'Monte Carlo Matches'!$F:$F)-SUMIF('Monte Carlo Matches'!$C:$C,B$4,'Monte Carlo Matches'!$F:$F)-SUMIF('Monte Carlo Matches'!$E:$E,B$4,'Monte Carlo Matches'!$D:$D)</f>
        <v>12</v>
      </c>
      <c r="C2" s="78">
        <f ca="1">SUMIF('Monte Carlo Matches'!$C:$C,C$4,'Monte Carlo Matches'!$D:$D)+SUMIF('Monte Carlo Matches'!$E:$E,C$4,'Monte Carlo Matches'!$F:$F)-SUMIF('Monte Carlo Matches'!$C:$C,C$4,'Monte Carlo Matches'!$F:$F)-SUMIF('Monte Carlo Matches'!$E:$E,C$4,'Monte Carlo Matches'!$D:$D)</f>
        <v>10</v>
      </c>
      <c r="D2" s="78">
        <f ca="1">SUMIF('Monte Carlo Matches'!$C:$C,D$4,'Monte Carlo Matches'!$D:$D)+SUMIF('Monte Carlo Matches'!$E:$E,D$4,'Monte Carlo Matches'!$F:$F)-SUMIF('Monte Carlo Matches'!$C:$C,D$4,'Monte Carlo Matches'!$F:$F)-SUMIF('Monte Carlo Matches'!$E:$E,D$4,'Monte Carlo Matches'!$D:$D)</f>
        <v>-9</v>
      </c>
      <c r="E2" s="78">
        <f ca="1">SUMIF('Monte Carlo Matches'!$C:$C,E$4,'Monte Carlo Matches'!$D:$D)+SUMIF('Monte Carlo Matches'!$E:$E,E$4,'Monte Carlo Matches'!$F:$F)-SUMIF('Monte Carlo Matches'!$C:$C,E$4,'Monte Carlo Matches'!$F:$F)-SUMIF('Monte Carlo Matches'!$E:$E,E$4,'Monte Carlo Matches'!$D:$D)</f>
        <v>-13</v>
      </c>
      <c r="F2" s="78">
        <f ca="1">SUMIF('Monte Carlo Matches'!$C:$C,F$4,'Monte Carlo Matches'!$D:$D)+SUMIF('Monte Carlo Matches'!$E:$E,F$4,'Monte Carlo Matches'!$F:$F)-SUMIF('Monte Carlo Matches'!$C:$C,F$4,'Monte Carlo Matches'!$F:$F)-SUMIF('Monte Carlo Matches'!$E:$E,F$4,'Monte Carlo Matches'!$D:$D)</f>
        <v>-8</v>
      </c>
      <c r="G2" s="78">
        <f ca="1">SUMIF('Monte Carlo Matches'!$C:$C,G$4,'Monte Carlo Matches'!$D:$D)+SUMIF('Monte Carlo Matches'!$E:$E,G$4,'Monte Carlo Matches'!$F:$F)-SUMIF('Monte Carlo Matches'!$C:$C,G$4,'Monte Carlo Matches'!$F:$F)-SUMIF('Monte Carlo Matches'!$E:$E,G$4,'Monte Carlo Matches'!$D:$D)</f>
        <v>24</v>
      </c>
      <c r="H2" s="78">
        <f ca="1">SUMIF('Monte Carlo Matches'!$C:$C,H$4,'Monte Carlo Matches'!$D:$D)+SUMIF('Monte Carlo Matches'!$E:$E,H$4,'Monte Carlo Matches'!$F:$F)-SUMIF('Monte Carlo Matches'!$C:$C,H$4,'Monte Carlo Matches'!$F:$F)-SUMIF('Monte Carlo Matches'!$E:$E,H$4,'Monte Carlo Matches'!$D:$D)</f>
        <v>7</v>
      </c>
      <c r="I2" s="78">
        <f ca="1">SUMIF('Monte Carlo Matches'!$C:$C,I$4,'Monte Carlo Matches'!$D:$D)+SUMIF('Monte Carlo Matches'!$E:$E,I$4,'Monte Carlo Matches'!$F:$F)-SUMIF('Monte Carlo Matches'!$C:$C,I$4,'Monte Carlo Matches'!$F:$F)-SUMIF('Monte Carlo Matches'!$E:$E,I$4,'Monte Carlo Matches'!$D:$D)</f>
        <v>7</v>
      </c>
      <c r="J2" s="78">
        <f ca="1">SUMIF('Monte Carlo Matches'!$C:$C,J$4,'Monte Carlo Matches'!$D:$D)+SUMIF('Monte Carlo Matches'!$E:$E,J$4,'Monte Carlo Matches'!$F:$F)-SUMIF('Monte Carlo Matches'!$C:$C,J$4,'Monte Carlo Matches'!$F:$F)-SUMIF('Monte Carlo Matches'!$E:$E,J$4,'Monte Carlo Matches'!$D:$D)</f>
        <v>6</v>
      </c>
      <c r="K2" s="78">
        <f ca="1">SUMIF('Monte Carlo Matches'!$C:$C,K$4,'Monte Carlo Matches'!$D:$D)+SUMIF('Monte Carlo Matches'!$E:$E,K$4,'Monte Carlo Matches'!$F:$F)-SUMIF('Monte Carlo Matches'!$C:$C,K$4,'Monte Carlo Matches'!$F:$F)-SUMIF('Monte Carlo Matches'!$E:$E,K$4,'Monte Carlo Matches'!$D:$D)</f>
        <v>-18</v>
      </c>
      <c r="L2" s="78">
        <f ca="1">SUMIF('Monte Carlo Matches'!$C:$C,L$4,'Monte Carlo Matches'!$D:$D)+SUMIF('Monte Carlo Matches'!$E:$E,L$4,'Monte Carlo Matches'!$F:$F)-SUMIF('Monte Carlo Matches'!$C:$C,L$4,'Monte Carlo Matches'!$F:$F)-SUMIF('Monte Carlo Matches'!$E:$E,L$4,'Monte Carlo Matches'!$D:$D)</f>
        <v>-18</v>
      </c>
    </row>
    <row r="3" spans="1:12" x14ac:dyDescent="0.2">
      <c r="A3" t="s">
        <v>61</v>
      </c>
      <c r="B3" s="53">
        <f ca="1">SUMIF('Monte Carlo Matches'!$C$3:$C$112,B$4,'Monte Carlo Matches'!$BB$3:$BB$112)+SUMIF('Monte Carlo Matches'!$E$3:$E$112,B$4,'Monte Carlo Matches'!$BC$3:$BC$112)</f>
        <v>39</v>
      </c>
      <c r="C3" s="53">
        <f ca="1">SUMIF('Monte Carlo Matches'!$C$3:$C$112,C$4,'Monte Carlo Matches'!$BB$3:$BB$112)+SUMIF('Monte Carlo Matches'!$E$3:$E$112,C$4,'Monte Carlo Matches'!$BC$3:$BC$112)</f>
        <v>33</v>
      </c>
      <c r="D3" s="53">
        <f ca="1">SUMIF('Monte Carlo Matches'!$C$3:$C$112,D$4,'Monte Carlo Matches'!$BB$3:$BB$112)+SUMIF('Monte Carlo Matches'!$E$3:$E$112,D$4,'Monte Carlo Matches'!$BC$3:$BC$112)</f>
        <v>21</v>
      </c>
      <c r="E3" s="53">
        <f ca="1">SUMIF('Monte Carlo Matches'!$C$3:$C$112,E$4,'Monte Carlo Matches'!$BB$3:$BB$112)+SUMIF('Monte Carlo Matches'!$E$3:$E$112,E$4,'Monte Carlo Matches'!$BC$3:$BC$112)</f>
        <v>16</v>
      </c>
      <c r="F3" s="53">
        <f ca="1">SUMIF('Monte Carlo Matches'!$C$3:$C$112,F$4,'Monte Carlo Matches'!$BB$3:$BB$112)+SUMIF('Monte Carlo Matches'!$E$3:$E$112,F$4,'Monte Carlo Matches'!$BC$3:$BC$112)</f>
        <v>18</v>
      </c>
      <c r="G3" s="53">
        <f ca="1">SUMIF('Monte Carlo Matches'!$C$3:$C$112,G$4,'Monte Carlo Matches'!$BB$3:$BB$112)+SUMIF('Monte Carlo Matches'!$E$3:$E$112,G$4,'Monte Carlo Matches'!$BC$3:$BC$112)</f>
        <v>40</v>
      </c>
      <c r="H3" s="53">
        <f ca="1">SUMIF('Monte Carlo Matches'!$C$3:$C$112,H$4,'Monte Carlo Matches'!$BB$3:$BB$112)+SUMIF('Monte Carlo Matches'!$E$3:$E$112,H$4,'Monte Carlo Matches'!$BC$3:$BC$112)</f>
        <v>30</v>
      </c>
      <c r="I3" s="53">
        <f ca="1">SUMIF('Monte Carlo Matches'!$C$3:$C$112,I$4,'Monte Carlo Matches'!$BB$3:$BB$112)+SUMIF('Monte Carlo Matches'!$E$3:$E$112,I$4,'Monte Carlo Matches'!$BC$3:$BC$112)</f>
        <v>31</v>
      </c>
      <c r="J3" s="53">
        <f ca="1">SUMIF('Monte Carlo Matches'!$C$3:$C$112,J$4,'Monte Carlo Matches'!$BB$3:$BB$112)+SUMIF('Monte Carlo Matches'!$E$3:$E$112,J$4,'Monte Carlo Matches'!$BC$3:$BC$112)</f>
        <v>34</v>
      </c>
      <c r="K3" s="53">
        <f ca="1">SUMIF('Monte Carlo Matches'!$C$3:$C$112,K$4,'Monte Carlo Matches'!$BB$3:$BB$112)+SUMIF('Monte Carlo Matches'!$E$3:$E$112,K$4,'Monte Carlo Matches'!$BC$3:$BC$112)</f>
        <v>12</v>
      </c>
      <c r="L3" s="53">
        <f ca="1">SUMIF('Monte Carlo Matches'!$C$3:$C$112,L$4,'Monte Carlo Matches'!$BB$3:$BB$112)+SUMIF('Monte Carlo Matches'!$E$3:$E$112,L$4,'Monte Carlo Matches'!$BC$3:$BC$112)</f>
        <v>19</v>
      </c>
    </row>
    <row r="4" spans="1:12" x14ac:dyDescent="0.2">
      <c r="B4" t="s">
        <v>76</v>
      </c>
      <c r="C4" t="s">
        <v>83</v>
      </c>
      <c r="D4" t="s">
        <v>84</v>
      </c>
      <c r="E4" t="s">
        <v>77</v>
      </c>
      <c r="F4" t="s">
        <v>80</v>
      </c>
      <c r="G4" t="s">
        <v>85</v>
      </c>
      <c r="H4" t="s">
        <v>82</v>
      </c>
      <c r="I4" t="s">
        <v>78</v>
      </c>
      <c r="J4" t="s">
        <v>86</v>
      </c>
      <c r="K4" t="s">
        <v>79</v>
      </c>
      <c r="L4" t="s">
        <v>81</v>
      </c>
    </row>
    <row r="5" spans="1:12" x14ac:dyDescent="0.2">
      <c r="B5">
        <f t="shared" ref="B5:L5" ca="1" si="0">ROUND(NORMINV(RAND(),B3,$D$1),0)</f>
        <v>38</v>
      </c>
      <c r="C5">
        <f t="shared" ca="1" si="0"/>
        <v>30</v>
      </c>
      <c r="D5">
        <f t="shared" ca="1" si="0"/>
        <v>20</v>
      </c>
      <c r="E5">
        <f t="shared" ca="1" si="0"/>
        <v>18</v>
      </c>
      <c r="F5">
        <f t="shared" ca="1" si="0"/>
        <v>20</v>
      </c>
      <c r="G5">
        <f t="shared" ca="1" si="0"/>
        <v>38</v>
      </c>
      <c r="H5">
        <f t="shared" ca="1" si="0"/>
        <v>30</v>
      </c>
      <c r="I5">
        <f t="shared" ca="1" si="0"/>
        <v>28</v>
      </c>
      <c r="J5">
        <f t="shared" ca="1" si="0"/>
        <v>34</v>
      </c>
      <c r="K5">
        <f t="shared" ca="1" si="0"/>
        <v>12</v>
      </c>
      <c r="L5">
        <f t="shared" ca="1" si="0"/>
        <v>20</v>
      </c>
    </row>
    <row r="6" spans="1:12" hidden="1" outlineLevel="1" x14ac:dyDescent="0.2">
      <c r="A6">
        <v>1</v>
      </c>
      <c r="B6">
        <f t="dataTable" ref="B6:L105" dt2D="0" dtr="0" r1="A1" ca="1"/>
        <v>41</v>
      </c>
      <c r="C6">
        <v>30</v>
      </c>
      <c r="D6">
        <v>22</v>
      </c>
      <c r="E6">
        <v>15</v>
      </c>
      <c r="F6">
        <v>20</v>
      </c>
      <c r="G6">
        <v>39</v>
      </c>
      <c r="H6">
        <v>30</v>
      </c>
      <c r="I6">
        <v>31</v>
      </c>
      <c r="J6">
        <v>33</v>
      </c>
      <c r="K6">
        <v>14</v>
      </c>
      <c r="L6">
        <v>21</v>
      </c>
    </row>
    <row r="7" spans="1:12" hidden="1" outlineLevel="1" x14ac:dyDescent="0.2">
      <c r="A7">
        <v>2</v>
      </c>
      <c r="B7">
        <v>37</v>
      </c>
      <c r="C7">
        <v>30</v>
      </c>
      <c r="D7">
        <v>21</v>
      </c>
      <c r="E7">
        <v>16</v>
      </c>
      <c r="F7">
        <v>19</v>
      </c>
      <c r="G7">
        <v>39</v>
      </c>
      <c r="H7">
        <v>32</v>
      </c>
      <c r="I7">
        <v>32</v>
      </c>
      <c r="J7">
        <v>34</v>
      </c>
      <c r="K7">
        <v>13</v>
      </c>
      <c r="L7">
        <v>18</v>
      </c>
    </row>
    <row r="8" spans="1:12" hidden="1" outlineLevel="1" x14ac:dyDescent="0.2">
      <c r="A8">
        <v>3</v>
      </c>
      <c r="B8">
        <v>40</v>
      </c>
      <c r="C8">
        <v>29</v>
      </c>
      <c r="D8">
        <v>21</v>
      </c>
      <c r="E8">
        <v>15</v>
      </c>
      <c r="F8">
        <v>19</v>
      </c>
      <c r="G8">
        <v>38</v>
      </c>
      <c r="H8">
        <v>29</v>
      </c>
      <c r="I8">
        <v>31</v>
      </c>
      <c r="J8">
        <v>35</v>
      </c>
      <c r="K8">
        <v>13</v>
      </c>
      <c r="L8">
        <v>18</v>
      </c>
    </row>
    <row r="9" spans="1:12" hidden="1" outlineLevel="1" x14ac:dyDescent="0.2">
      <c r="A9">
        <v>4</v>
      </c>
      <c r="B9">
        <v>38</v>
      </c>
      <c r="C9">
        <v>32</v>
      </c>
      <c r="D9">
        <v>20</v>
      </c>
      <c r="E9">
        <v>16</v>
      </c>
      <c r="F9">
        <v>17</v>
      </c>
      <c r="G9">
        <v>38</v>
      </c>
      <c r="H9">
        <v>29</v>
      </c>
      <c r="I9">
        <v>29</v>
      </c>
      <c r="J9">
        <v>33</v>
      </c>
      <c r="K9">
        <v>11</v>
      </c>
      <c r="L9">
        <v>18</v>
      </c>
    </row>
    <row r="10" spans="1:12" hidden="1" outlineLevel="1" x14ac:dyDescent="0.2">
      <c r="A10">
        <v>5</v>
      </c>
      <c r="B10">
        <v>40</v>
      </c>
      <c r="C10">
        <v>34</v>
      </c>
      <c r="D10">
        <v>23</v>
      </c>
      <c r="E10">
        <v>18</v>
      </c>
      <c r="F10">
        <v>19</v>
      </c>
      <c r="G10">
        <v>43</v>
      </c>
      <c r="H10">
        <v>28</v>
      </c>
      <c r="I10">
        <v>28</v>
      </c>
      <c r="J10">
        <v>36</v>
      </c>
      <c r="K10">
        <v>11</v>
      </c>
      <c r="L10">
        <v>22</v>
      </c>
    </row>
    <row r="11" spans="1:12" hidden="1" outlineLevel="1" x14ac:dyDescent="0.2">
      <c r="A11">
        <v>6</v>
      </c>
      <c r="B11">
        <v>37</v>
      </c>
      <c r="C11">
        <v>31</v>
      </c>
      <c r="D11">
        <v>22</v>
      </c>
      <c r="E11">
        <v>16</v>
      </c>
      <c r="F11">
        <v>16</v>
      </c>
      <c r="G11">
        <v>42</v>
      </c>
      <c r="H11">
        <v>30</v>
      </c>
      <c r="I11">
        <v>30</v>
      </c>
      <c r="J11">
        <v>33</v>
      </c>
      <c r="K11">
        <v>11</v>
      </c>
      <c r="L11">
        <v>20</v>
      </c>
    </row>
    <row r="12" spans="1:12" hidden="1" outlineLevel="1" x14ac:dyDescent="0.2">
      <c r="A12">
        <v>7</v>
      </c>
      <c r="B12">
        <v>39</v>
      </c>
      <c r="C12">
        <v>34</v>
      </c>
      <c r="D12">
        <v>21</v>
      </c>
      <c r="E12">
        <v>16</v>
      </c>
      <c r="F12">
        <v>16</v>
      </c>
      <c r="G12">
        <v>39</v>
      </c>
      <c r="H12">
        <v>31</v>
      </c>
      <c r="I12">
        <v>31</v>
      </c>
      <c r="J12">
        <v>35</v>
      </c>
      <c r="K12">
        <v>13</v>
      </c>
      <c r="L12">
        <v>19</v>
      </c>
    </row>
    <row r="13" spans="1:12" hidden="1" outlineLevel="1" x14ac:dyDescent="0.2">
      <c r="A13">
        <v>8</v>
      </c>
      <c r="B13">
        <v>38</v>
      </c>
      <c r="C13">
        <v>33</v>
      </c>
      <c r="D13">
        <v>20</v>
      </c>
      <c r="E13">
        <v>18</v>
      </c>
      <c r="F13">
        <v>18</v>
      </c>
      <c r="G13">
        <v>38</v>
      </c>
      <c r="H13">
        <v>30</v>
      </c>
      <c r="I13">
        <v>30</v>
      </c>
      <c r="J13">
        <v>31</v>
      </c>
      <c r="K13">
        <v>12</v>
      </c>
      <c r="L13">
        <v>19</v>
      </c>
    </row>
    <row r="14" spans="1:12" hidden="1" outlineLevel="1" x14ac:dyDescent="0.2">
      <c r="A14">
        <v>9</v>
      </c>
      <c r="B14">
        <v>38</v>
      </c>
      <c r="C14">
        <v>29</v>
      </c>
      <c r="D14">
        <v>21</v>
      </c>
      <c r="E14">
        <v>18</v>
      </c>
      <c r="F14">
        <v>17</v>
      </c>
      <c r="G14">
        <v>43</v>
      </c>
      <c r="H14">
        <v>31</v>
      </c>
      <c r="I14">
        <v>28</v>
      </c>
      <c r="J14">
        <v>34</v>
      </c>
      <c r="K14">
        <v>11</v>
      </c>
      <c r="L14">
        <v>20</v>
      </c>
    </row>
    <row r="15" spans="1:12" hidden="1" outlineLevel="1" x14ac:dyDescent="0.2">
      <c r="A15">
        <v>10</v>
      </c>
      <c r="B15">
        <v>39</v>
      </c>
      <c r="C15">
        <v>32</v>
      </c>
      <c r="D15">
        <v>20</v>
      </c>
      <c r="E15">
        <v>13</v>
      </c>
      <c r="F15">
        <v>19</v>
      </c>
      <c r="G15">
        <v>38</v>
      </c>
      <c r="H15">
        <v>30</v>
      </c>
      <c r="I15">
        <v>28</v>
      </c>
      <c r="J15">
        <v>35</v>
      </c>
      <c r="K15">
        <v>9</v>
      </c>
      <c r="L15">
        <v>17</v>
      </c>
    </row>
    <row r="16" spans="1:12" hidden="1" outlineLevel="1" x14ac:dyDescent="0.2">
      <c r="A16">
        <v>11</v>
      </c>
      <c r="B16">
        <v>37</v>
      </c>
      <c r="C16">
        <v>33</v>
      </c>
      <c r="D16">
        <v>20</v>
      </c>
      <c r="E16">
        <v>17</v>
      </c>
      <c r="F16">
        <v>18</v>
      </c>
      <c r="G16">
        <v>40</v>
      </c>
      <c r="H16">
        <v>31</v>
      </c>
      <c r="I16">
        <v>35</v>
      </c>
      <c r="J16">
        <v>32</v>
      </c>
      <c r="K16">
        <v>11</v>
      </c>
      <c r="L16">
        <v>20</v>
      </c>
    </row>
    <row r="17" spans="1:12" hidden="1" outlineLevel="1" x14ac:dyDescent="0.2">
      <c r="A17">
        <v>12</v>
      </c>
      <c r="B17">
        <v>38</v>
      </c>
      <c r="C17">
        <v>33</v>
      </c>
      <c r="D17">
        <v>22</v>
      </c>
      <c r="E17">
        <v>15</v>
      </c>
      <c r="F17">
        <v>21</v>
      </c>
      <c r="G17">
        <v>41</v>
      </c>
      <c r="H17">
        <v>28</v>
      </c>
      <c r="I17">
        <v>28</v>
      </c>
      <c r="J17">
        <v>34</v>
      </c>
      <c r="K17">
        <v>12</v>
      </c>
      <c r="L17">
        <v>19</v>
      </c>
    </row>
    <row r="18" spans="1:12" hidden="1" outlineLevel="1" x14ac:dyDescent="0.2">
      <c r="A18">
        <v>13</v>
      </c>
      <c r="B18">
        <v>42</v>
      </c>
      <c r="C18">
        <v>31</v>
      </c>
      <c r="D18">
        <v>19</v>
      </c>
      <c r="E18">
        <v>15</v>
      </c>
      <c r="F18">
        <v>18</v>
      </c>
      <c r="G18">
        <v>41</v>
      </c>
      <c r="H18">
        <v>32</v>
      </c>
      <c r="I18">
        <v>29</v>
      </c>
      <c r="J18">
        <v>34</v>
      </c>
      <c r="K18">
        <v>11</v>
      </c>
      <c r="L18">
        <v>21</v>
      </c>
    </row>
    <row r="19" spans="1:12" hidden="1" outlineLevel="1" x14ac:dyDescent="0.2">
      <c r="A19">
        <v>14</v>
      </c>
      <c r="B19">
        <v>38</v>
      </c>
      <c r="C19">
        <v>32</v>
      </c>
      <c r="D19">
        <v>18</v>
      </c>
      <c r="E19">
        <v>18</v>
      </c>
      <c r="F19">
        <v>17</v>
      </c>
      <c r="G19">
        <v>38</v>
      </c>
      <c r="H19">
        <v>32</v>
      </c>
      <c r="I19">
        <v>30</v>
      </c>
      <c r="J19">
        <v>33</v>
      </c>
      <c r="K19">
        <v>9</v>
      </c>
      <c r="L19">
        <v>20</v>
      </c>
    </row>
    <row r="20" spans="1:12" hidden="1" outlineLevel="1" x14ac:dyDescent="0.2">
      <c r="A20">
        <v>15</v>
      </c>
      <c r="B20">
        <v>38</v>
      </c>
      <c r="C20">
        <v>30</v>
      </c>
      <c r="D20">
        <v>20</v>
      </c>
      <c r="E20">
        <v>15</v>
      </c>
      <c r="F20">
        <v>15</v>
      </c>
      <c r="G20">
        <v>40</v>
      </c>
      <c r="H20">
        <v>31</v>
      </c>
      <c r="I20">
        <v>31</v>
      </c>
      <c r="J20">
        <v>35</v>
      </c>
      <c r="K20">
        <v>11</v>
      </c>
      <c r="L20">
        <v>16</v>
      </c>
    </row>
    <row r="21" spans="1:12" hidden="1" outlineLevel="1" x14ac:dyDescent="0.2">
      <c r="A21">
        <v>16</v>
      </c>
      <c r="B21">
        <v>38</v>
      </c>
      <c r="C21">
        <v>31</v>
      </c>
      <c r="D21">
        <v>19</v>
      </c>
      <c r="E21">
        <v>18</v>
      </c>
      <c r="F21">
        <v>18</v>
      </c>
      <c r="G21">
        <v>39</v>
      </c>
      <c r="H21">
        <v>34</v>
      </c>
      <c r="I21">
        <v>29</v>
      </c>
      <c r="J21">
        <v>35</v>
      </c>
      <c r="K21">
        <v>10</v>
      </c>
      <c r="L21">
        <v>22</v>
      </c>
    </row>
    <row r="22" spans="1:12" hidden="1" outlineLevel="1" x14ac:dyDescent="0.2">
      <c r="A22">
        <v>17</v>
      </c>
      <c r="B22">
        <v>40</v>
      </c>
      <c r="C22">
        <v>35</v>
      </c>
      <c r="D22">
        <v>23</v>
      </c>
      <c r="E22">
        <v>15</v>
      </c>
      <c r="F22">
        <v>18</v>
      </c>
      <c r="G22">
        <v>40</v>
      </c>
      <c r="H22">
        <v>28</v>
      </c>
      <c r="I22">
        <v>30</v>
      </c>
      <c r="J22">
        <v>36</v>
      </c>
      <c r="K22">
        <v>10</v>
      </c>
      <c r="L22">
        <v>19</v>
      </c>
    </row>
    <row r="23" spans="1:12" hidden="1" outlineLevel="1" x14ac:dyDescent="0.2">
      <c r="A23">
        <v>18</v>
      </c>
      <c r="B23">
        <v>38</v>
      </c>
      <c r="C23">
        <v>33</v>
      </c>
      <c r="D23">
        <v>19</v>
      </c>
      <c r="E23">
        <v>18</v>
      </c>
      <c r="F23">
        <v>21</v>
      </c>
      <c r="G23">
        <v>39</v>
      </c>
      <c r="H23">
        <v>29</v>
      </c>
      <c r="I23">
        <v>32</v>
      </c>
      <c r="J23">
        <v>36</v>
      </c>
      <c r="K23">
        <v>11</v>
      </c>
      <c r="L23">
        <v>20</v>
      </c>
    </row>
    <row r="24" spans="1:12" hidden="1" outlineLevel="1" x14ac:dyDescent="0.2">
      <c r="A24">
        <v>19</v>
      </c>
      <c r="B24">
        <v>36</v>
      </c>
      <c r="C24">
        <v>35</v>
      </c>
      <c r="D24">
        <v>19</v>
      </c>
      <c r="E24">
        <v>14</v>
      </c>
      <c r="F24">
        <v>18</v>
      </c>
      <c r="G24">
        <v>41</v>
      </c>
      <c r="H24">
        <v>30</v>
      </c>
      <c r="I24">
        <v>31</v>
      </c>
      <c r="J24">
        <v>34</v>
      </c>
      <c r="K24">
        <v>14</v>
      </c>
      <c r="L24">
        <v>20</v>
      </c>
    </row>
    <row r="25" spans="1:12" hidden="1" outlineLevel="1" x14ac:dyDescent="0.2">
      <c r="A25">
        <v>20</v>
      </c>
      <c r="B25">
        <v>38</v>
      </c>
      <c r="C25">
        <v>34</v>
      </c>
      <c r="D25">
        <v>21</v>
      </c>
      <c r="E25">
        <v>17</v>
      </c>
      <c r="F25">
        <v>19</v>
      </c>
      <c r="G25">
        <v>42</v>
      </c>
      <c r="H25">
        <v>30</v>
      </c>
      <c r="I25">
        <v>29</v>
      </c>
      <c r="J25">
        <v>36</v>
      </c>
      <c r="K25">
        <v>14</v>
      </c>
      <c r="L25">
        <v>17</v>
      </c>
    </row>
    <row r="26" spans="1:12" hidden="1" outlineLevel="1" x14ac:dyDescent="0.2">
      <c r="A26">
        <v>21</v>
      </c>
      <c r="B26">
        <v>37</v>
      </c>
      <c r="C26">
        <v>30</v>
      </c>
      <c r="D26">
        <v>22</v>
      </c>
      <c r="E26">
        <v>15</v>
      </c>
      <c r="F26">
        <v>19</v>
      </c>
      <c r="G26">
        <v>42</v>
      </c>
      <c r="H26">
        <v>31</v>
      </c>
      <c r="I26">
        <v>28</v>
      </c>
      <c r="J26">
        <v>34</v>
      </c>
      <c r="K26">
        <v>13</v>
      </c>
      <c r="L26">
        <v>16</v>
      </c>
    </row>
    <row r="27" spans="1:12" hidden="1" outlineLevel="1" x14ac:dyDescent="0.2">
      <c r="A27">
        <v>22</v>
      </c>
      <c r="B27">
        <v>38</v>
      </c>
      <c r="C27">
        <v>31</v>
      </c>
      <c r="D27">
        <v>21</v>
      </c>
      <c r="E27">
        <v>15</v>
      </c>
      <c r="F27">
        <v>21</v>
      </c>
      <c r="G27">
        <v>40</v>
      </c>
      <c r="H27">
        <v>31</v>
      </c>
      <c r="I27">
        <v>30</v>
      </c>
      <c r="J27">
        <v>34</v>
      </c>
      <c r="K27">
        <v>12</v>
      </c>
      <c r="L27">
        <v>19</v>
      </c>
    </row>
    <row r="28" spans="1:12" hidden="1" outlineLevel="1" x14ac:dyDescent="0.2">
      <c r="A28">
        <v>23</v>
      </c>
      <c r="B28">
        <v>39</v>
      </c>
      <c r="C28">
        <v>35</v>
      </c>
      <c r="D28">
        <v>22</v>
      </c>
      <c r="E28">
        <v>14</v>
      </c>
      <c r="F28">
        <v>18</v>
      </c>
      <c r="G28">
        <v>44</v>
      </c>
      <c r="H28">
        <v>33</v>
      </c>
      <c r="I28">
        <v>34</v>
      </c>
      <c r="J28">
        <v>36</v>
      </c>
      <c r="K28">
        <v>14</v>
      </c>
      <c r="L28">
        <v>17</v>
      </c>
    </row>
    <row r="29" spans="1:12" hidden="1" outlineLevel="1" x14ac:dyDescent="0.2">
      <c r="A29">
        <v>24</v>
      </c>
      <c r="B29">
        <v>38</v>
      </c>
      <c r="C29">
        <v>30</v>
      </c>
      <c r="D29">
        <v>20</v>
      </c>
      <c r="E29">
        <v>16</v>
      </c>
      <c r="F29">
        <v>20</v>
      </c>
      <c r="G29">
        <v>38</v>
      </c>
      <c r="H29">
        <v>31</v>
      </c>
      <c r="I29">
        <v>34</v>
      </c>
      <c r="J29">
        <v>35</v>
      </c>
      <c r="K29">
        <v>12</v>
      </c>
      <c r="L29">
        <v>19</v>
      </c>
    </row>
    <row r="30" spans="1:12" hidden="1" outlineLevel="1" x14ac:dyDescent="0.2">
      <c r="A30">
        <v>25</v>
      </c>
      <c r="B30">
        <v>41</v>
      </c>
      <c r="C30">
        <v>34</v>
      </c>
      <c r="D30">
        <v>21</v>
      </c>
      <c r="E30">
        <v>17</v>
      </c>
      <c r="F30">
        <v>20</v>
      </c>
      <c r="G30">
        <v>40</v>
      </c>
      <c r="H30">
        <v>30</v>
      </c>
      <c r="I30">
        <v>32</v>
      </c>
      <c r="J30">
        <v>34</v>
      </c>
      <c r="K30">
        <v>11</v>
      </c>
      <c r="L30">
        <v>20</v>
      </c>
    </row>
    <row r="31" spans="1:12" hidden="1" outlineLevel="1" x14ac:dyDescent="0.2">
      <c r="A31">
        <v>26</v>
      </c>
      <c r="B31">
        <v>37</v>
      </c>
      <c r="C31">
        <v>31</v>
      </c>
      <c r="D31">
        <v>21</v>
      </c>
      <c r="E31">
        <v>19</v>
      </c>
      <c r="F31">
        <v>17</v>
      </c>
      <c r="G31">
        <v>38</v>
      </c>
      <c r="H31">
        <v>33</v>
      </c>
      <c r="I31">
        <v>34</v>
      </c>
      <c r="J31">
        <v>36</v>
      </c>
      <c r="K31">
        <v>14</v>
      </c>
      <c r="L31">
        <v>16</v>
      </c>
    </row>
    <row r="32" spans="1:12" hidden="1" outlineLevel="1" x14ac:dyDescent="0.2">
      <c r="A32">
        <v>27</v>
      </c>
      <c r="B32">
        <v>40</v>
      </c>
      <c r="C32">
        <v>29</v>
      </c>
      <c r="D32">
        <v>23</v>
      </c>
      <c r="E32">
        <v>14</v>
      </c>
      <c r="F32">
        <v>19</v>
      </c>
      <c r="G32">
        <v>39</v>
      </c>
      <c r="H32">
        <v>32</v>
      </c>
      <c r="I32">
        <v>28</v>
      </c>
      <c r="J32">
        <v>32</v>
      </c>
      <c r="K32">
        <v>10</v>
      </c>
      <c r="L32">
        <v>17</v>
      </c>
    </row>
    <row r="33" spans="1:12" hidden="1" outlineLevel="1" x14ac:dyDescent="0.2">
      <c r="A33">
        <v>28</v>
      </c>
      <c r="B33">
        <v>41</v>
      </c>
      <c r="C33">
        <v>33</v>
      </c>
      <c r="D33">
        <v>20</v>
      </c>
      <c r="E33">
        <v>16</v>
      </c>
      <c r="F33">
        <v>18</v>
      </c>
      <c r="G33">
        <v>41</v>
      </c>
      <c r="H33">
        <v>29</v>
      </c>
      <c r="I33">
        <v>30</v>
      </c>
      <c r="J33">
        <v>32</v>
      </c>
      <c r="K33">
        <v>12</v>
      </c>
      <c r="L33">
        <v>19</v>
      </c>
    </row>
    <row r="34" spans="1:12" hidden="1" outlineLevel="1" x14ac:dyDescent="0.2">
      <c r="A34">
        <v>29</v>
      </c>
      <c r="B34">
        <v>41</v>
      </c>
      <c r="C34">
        <v>32</v>
      </c>
      <c r="D34">
        <v>20</v>
      </c>
      <c r="E34">
        <v>15</v>
      </c>
      <c r="F34">
        <v>18</v>
      </c>
      <c r="G34">
        <v>41</v>
      </c>
      <c r="H34">
        <v>32</v>
      </c>
      <c r="I34">
        <v>29</v>
      </c>
      <c r="J34">
        <v>34</v>
      </c>
      <c r="K34">
        <v>10</v>
      </c>
      <c r="L34">
        <v>19</v>
      </c>
    </row>
    <row r="35" spans="1:12" hidden="1" outlineLevel="1" x14ac:dyDescent="0.2">
      <c r="A35">
        <v>30</v>
      </c>
      <c r="B35">
        <v>37</v>
      </c>
      <c r="C35">
        <v>33</v>
      </c>
      <c r="D35">
        <v>19</v>
      </c>
      <c r="E35">
        <v>15</v>
      </c>
      <c r="F35">
        <v>18</v>
      </c>
      <c r="G35">
        <v>42</v>
      </c>
      <c r="H35">
        <v>29</v>
      </c>
      <c r="I35">
        <v>32</v>
      </c>
      <c r="J35">
        <v>35</v>
      </c>
      <c r="K35">
        <v>13</v>
      </c>
      <c r="L35">
        <v>19</v>
      </c>
    </row>
    <row r="36" spans="1:12" hidden="1" outlineLevel="1" x14ac:dyDescent="0.2">
      <c r="A36">
        <v>31</v>
      </c>
      <c r="B36">
        <v>43</v>
      </c>
      <c r="C36">
        <v>31</v>
      </c>
      <c r="D36">
        <v>23</v>
      </c>
      <c r="E36">
        <v>14</v>
      </c>
      <c r="F36">
        <v>17</v>
      </c>
      <c r="G36">
        <v>40</v>
      </c>
      <c r="H36">
        <v>32</v>
      </c>
      <c r="I36">
        <v>31</v>
      </c>
      <c r="J36">
        <v>33</v>
      </c>
      <c r="K36">
        <v>13</v>
      </c>
      <c r="L36">
        <v>20</v>
      </c>
    </row>
    <row r="37" spans="1:12" hidden="1" outlineLevel="1" x14ac:dyDescent="0.2">
      <c r="A37">
        <v>32</v>
      </c>
      <c r="B37">
        <v>38</v>
      </c>
      <c r="C37">
        <v>30</v>
      </c>
      <c r="D37">
        <v>19</v>
      </c>
      <c r="E37">
        <v>13</v>
      </c>
      <c r="F37">
        <v>17</v>
      </c>
      <c r="G37">
        <v>40</v>
      </c>
      <c r="H37">
        <v>29</v>
      </c>
      <c r="I37">
        <v>30</v>
      </c>
      <c r="J37">
        <v>35</v>
      </c>
      <c r="K37">
        <v>13</v>
      </c>
      <c r="L37">
        <v>17</v>
      </c>
    </row>
    <row r="38" spans="1:12" hidden="1" outlineLevel="1" x14ac:dyDescent="0.2">
      <c r="A38">
        <v>33</v>
      </c>
      <c r="B38">
        <v>38</v>
      </c>
      <c r="C38">
        <v>34</v>
      </c>
      <c r="D38">
        <v>18</v>
      </c>
      <c r="E38">
        <v>16</v>
      </c>
      <c r="F38">
        <v>19</v>
      </c>
      <c r="G38">
        <v>39</v>
      </c>
      <c r="H38">
        <v>29</v>
      </c>
      <c r="I38">
        <v>33</v>
      </c>
      <c r="J38">
        <v>32</v>
      </c>
      <c r="K38">
        <v>9</v>
      </c>
      <c r="L38">
        <v>19</v>
      </c>
    </row>
    <row r="39" spans="1:12" hidden="1" outlineLevel="1" x14ac:dyDescent="0.2">
      <c r="A39">
        <v>34</v>
      </c>
      <c r="B39">
        <v>38</v>
      </c>
      <c r="C39">
        <v>34</v>
      </c>
      <c r="D39">
        <v>22</v>
      </c>
      <c r="E39">
        <v>16</v>
      </c>
      <c r="F39">
        <v>20</v>
      </c>
      <c r="G39">
        <v>40</v>
      </c>
      <c r="H39">
        <v>30</v>
      </c>
      <c r="I39">
        <v>32</v>
      </c>
      <c r="J39">
        <v>33</v>
      </c>
      <c r="K39">
        <v>13</v>
      </c>
      <c r="L39">
        <v>17</v>
      </c>
    </row>
    <row r="40" spans="1:12" hidden="1" outlineLevel="1" x14ac:dyDescent="0.2">
      <c r="A40">
        <v>35</v>
      </c>
      <c r="B40">
        <v>40</v>
      </c>
      <c r="C40">
        <v>28</v>
      </c>
      <c r="D40">
        <v>20</v>
      </c>
      <c r="E40">
        <v>17</v>
      </c>
      <c r="F40">
        <v>21</v>
      </c>
      <c r="G40">
        <v>40</v>
      </c>
      <c r="H40">
        <v>32</v>
      </c>
      <c r="I40">
        <v>28</v>
      </c>
      <c r="J40">
        <v>32</v>
      </c>
      <c r="K40">
        <v>14</v>
      </c>
      <c r="L40">
        <v>19</v>
      </c>
    </row>
    <row r="41" spans="1:12" hidden="1" outlineLevel="1" x14ac:dyDescent="0.2">
      <c r="A41">
        <v>36</v>
      </c>
      <c r="B41">
        <v>39</v>
      </c>
      <c r="C41">
        <v>34</v>
      </c>
      <c r="D41">
        <v>21</v>
      </c>
      <c r="E41">
        <v>16</v>
      </c>
      <c r="F41">
        <v>20</v>
      </c>
      <c r="G41">
        <v>42</v>
      </c>
      <c r="H41">
        <v>34</v>
      </c>
      <c r="I41">
        <v>30</v>
      </c>
      <c r="J41">
        <v>33</v>
      </c>
      <c r="K41">
        <v>13</v>
      </c>
      <c r="L41">
        <v>18</v>
      </c>
    </row>
    <row r="42" spans="1:12" hidden="1" outlineLevel="1" x14ac:dyDescent="0.2">
      <c r="A42">
        <v>37</v>
      </c>
      <c r="B42">
        <v>36</v>
      </c>
      <c r="C42">
        <v>33</v>
      </c>
      <c r="D42">
        <v>22</v>
      </c>
      <c r="E42">
        <v>14</v>
      </c>
      <c r="F42">
        <v>19</v>
      </c>
      <c r="G42">
        <v>39</v>
      </c>
      <c r="H42">
        <v>27</v>
      </c>
      <c r="I42">
        <v>30</v>
      </c>
      <c r="J42">
        <v>35</v>
      </c>
      <c r="K42">
        <v>12</v>
      </c>
      <c r="L42">
        <v>16</v>
      </c>
    </row>
    <row r="43" spans="1:12" hidden="1" outlineLevel="1" x14ac:dyDescent="0.2">
      <c r="A43">
        <v>38</v>
      </c>
      <c r="B43">
        <v>37</v>
      </c>
      <c r="C43">
        <v>32</v>
      </c>
      <c r="D43">
        <v>21</v>
      </c>
      <c r="E43">
        <v>15</v>
      </c>
      <c r="F43">
        <v>17</v>
      </c>
      <c r="G43">
        <v>43</v>
      </c>
      <c r="H43">
        <v>32</v>
      </c>
      <c r="I43">
        <v>27</v>
      </c>
      <c r="J43">
        <v>34</v>
      </c>
      <c r="K43">
        <v>9</v>
      </c>
      <c r="L43">
        <v>17</v>
      </c>
    </row>
    <row r="44" spans="1:12" hidden="1" outlineLevel="1" x14ac:dyDescent="0.2">
      <c r="A44">
        <v>39</v>
      </c>
      <c r="B44">
        <v>39</v>
      </c>
      <c r="C44">
        <v>29</v>
      </c>
      <c r="D44">
        <v>21</v>
      </c>
      <c r="E44">
        <v>17</v>
      </c>
      <c r="F44">
        <v>18</v>
      </c>
      <c r="G44">
        <v>42</v>
      </c>
      <c r="H44">
        <v>28</v>
      </c>
      <c r="I44">
        <v>32</v>
      </c>
      <c r="J44">
        <v>34</v>
      </c>
      <c r="K44">
        <v>11</v>
      </c>
      <c r="L44">
        <v>19</v>
      </c>
    </row>
    <row r="45" spans="1:12" hidden="1" outlineLevel="1" x14ac:dyDescent="0.2">
      <c r="A45">
        <v>40</v>
      </c>
      <c r="B45">
        <v>41</v>
      </c>
      <c r="C45">
        <v>34</v>
      </c>
      <c r="D45">
        <v>23</v>
      </c>
      <c r="E45">
        <v>17</v>
      </c>
      <c r="F45">
        <v>19</v>
      </c>
      <c r="G45">
        <v>39</v>
      </c>
      <c r="H45">
        <v>32</v>
      </c>
      <c r="I45">
        <v>27</v>
      </c>
      <c r="J45">
        <v>33</v>
      </c>
      <c r="K45">
        <v>10</v>
      </c>
      <c r="L45">
        <v>19</v>
      </c>
    </row>
    <row r="46" spans="1:12" hidden="1" outlineLevel="1" x14ac:dyDescent="0.2">
      <c r="A46">
        <v>41</v>
      </c>
      <c r="B46">
        <v>41</v>
      </c>
      <c r="C46">
        <v>32</v>
      </c>
      <c r="D46">
        <v>21</v>
      </c>
      <c r="E46">
        <v>16</v>
      </c>
      <c r="F46">
        <v>17</v>
      </c>
      <c r="G46">
        <v>42</v>
      </c>
      <c r="H46">
        <v>30</v>
      </c>
      <c r="I46">
        <v>28</v>
      </c>
      <c r="J46">
        <v>35</v>
      </c>
      <c r="K46">
        <v>14</v>
      </c>
      <c r="L46">
        <v>18</v>
      </c>
    </row>
    <row r="47" spans="1:12" hidden="1" outlineLevel="1" x14ac:dyDescent="0.2">
      <c r="A47">
        <v>42</v>
      </c>
      <c r="B47">
        <v>36</v>
      </c>
      <c r="C47">
        <v>33</v>
      </c>
      <c r="D47">
        <v>19</v>
      </c>
      <c r="E47">
        <v>15</v>
      </c>
      <c r="F47">
        <v>17</v>
      </c>
      <c r="G47">
        <v>41</v>
      </c>
      <c r="H47">
        <v>32</v>
      </c>
      <c r="I47">
        <v>29</v>
      </c>
      <c r="J47">
        <v>34</v>
      </c>
      <c r="K47">
        <v>13</v>
      </c>
      <c r="L47">
        <v>17</v>
      </c>
    </row>
    <row r="48" spans="1:12" hidden="1" outlineLevel="1" x14ac:dyDescent="0.2">
      <c r="A48">
        <v>43</v>
      </c>
      <c r="B48">
        <v>40</v>
      </c>
      <c r="C48">
        <v>31</v>
      </c>
      <c r="D48">
        <v>19</v>
      </c>
      <c r="E48">
        <v>21</v>
      </c>
      <c r="F48">
        <v>17</v>
      </c>
      <c r="G48">
        <v>39</v>
      </c>
      <c r="H48">
        <v>34</v>
      </c>
      <c r="I48">
        <v>28</v>
      </c>
      <c r="J48">
        <v>35</v>
      </c>
      <c r="K48">
        <v>15</v>
      </c>
      <c r="L48">
        <v>19</v>
      </c>
    </row>
    <row r="49" spans="1:12" hidden="1" outlineLevel="1" x14ac:dyDescent="0.2">
      <c r="A49">
        <v>44</v>
      </c>
      <c r="B49">
        <v>36</v>
      </c>
      <c r="C49">
        <v>34</v>
      </c>
      <c r="D49">
        <v>20</v>
      </c>
      <c r="E49">
        <v>18</v>
      </c>
      <c r="F49">
        <v>17</v>
      </c>
      <c r="G49">
        <v>40</v>
      </c>
      <c r="H49">
        <v>32</v>
      </c>
      <c r="I49">
        <v>31</v>
      </c>
      <c r="J49">
        <v>34</v>
      </c>
      <c r="K49">
        <v>11</v>
      </c>
      <c r="L49">
        <v>18</v>
      </c>
    </row>
    <row r="50" spans="1:12" hidden="1" outlineLevel="1" x14ac:dyDescent="0.2">
      <c r="A50">
        <v>45</v>
      </c>
      <c r="B50">
        <v>39</v>
      </c>
      <c r="C50">
        <v>33</v>
      </c>
      <c r="D50">
        <v>20</v>
      </c>
      <c r="E50">
        <v>18</v>
      </c>
      <c r="F50">
        <v>17</v>
      </c>
      <c r="G50">
        <v>41</v>
      </c>
      <c r="H50">
        <v>31</v>
      </c>
      <c r="I50">
        <v>31</v>
      </c>
      <c r="J50">
        <v>34</v>
      </c>
      <c r="K50">
        <v>13</v>
      </c>
      <c r="L50">
        <v>20</v>
      </c>
    </row>
    <row r="51" spans="1:12" hidden="1" outlineLevel="1" x14ac:dyDescent="0.2">
      <c r="A51">
        <v>46</v>
      </c>
      <c r="B51">
        <v>41</v>
      </c>
      <c r="C51">
        <v>31</v>
      </c>
      <c r="D51">
        <v>20</v>
      </c>
      <c r="E51">
        <v>21</v>
      </c>
      <c r="F51">
        <v>19</v>
      </c>
      <c r="G51">
        <v>42</v>
      </c>
      <c r="H51">
        <v>29</v>
      </c>
      <c r="I51">
        <v>32</v>
      </c>
      <c r="J51">
        <v>35</v>
      </c>
      <c r="K51">
        <v>12</v>
      </c>
      <c r="L51">
        <v>19</v>
      </c>
    </row>
    <row r="52" spans="1:12" hidden="1" outlineLevel="1" x14ac:dyDescent="0.2">
      <c r="A52">
        <v>47</v>
      </c>
      <c r="B52">
        <v>40</v>
      </c>
      <c r="C52">
        <v>33</v>
      </c>
      <c r="D52">
        <v>22</v>
      </c>
      <c r="E52">
        <v>19</v>
      </c>
      <c r="F52">
        <v>18</v>
      </c>
      <c r="G52">
        <v>43</v>
      </c>
      <c r="H52">
        <v>31</v>
      </c>
      <c r="I52">
        <v>29</v>
      </c>
      <c r="J52">
        <v>34</v>
      </c>
      <c r="K52">
        <v>13</v>
      </c>
      <c r="L52">
        <v>20</v>
      </c>
    </row>
    <row r="53" spans="1:12" hidden="1" outlineLevel="1" x14ac:dyDescent="0.2">
      <c r="A53">
        <v>48</v>
      </c>
      <c r="B53">
        <v>37</v>
      </c>
      <c r="C53">
        <v>36</v>
      </c>
      <c r="D53">
        <v>21</v>
      </c>
      <c r="E53">
        <v>16</v>
      </c>
      <c r="F53">
        <v>19</v>
      </c>
      <c r="G53">
        <v>41</v>
      </c>
      <c r="H53">
        <v>31</v>
      </c>
      <c r="I53">
        <v>32</v>
      </c>
      <c r="J53">
        <v>34</v>
      </c>
      <c r="K53">
        <v>14</v>
      </c>
      <c r="L53">
        <v>17</v>
      </c>
    </row>
    <row r="54" spans="1:12" hidden="1" outlineLevel="1" x14ac:dyDescent="0.2">
      <c r="A54">
        <v>49</v>
      </c>
      <c r="B54">
        <v>40</v>
      </c>
      <c r="C54">
        <v>34</v>
      </c>
      <c r="D54">
        <v>22</v>
      </c>
      <c r="E54">
        <v>16</v>
      </c>
      <c r="F54">
        <v>20</v>
      </c>
      <c r="G54">
        <v>39</v>
      </c>
      <c r="H54">
        <v>31</v>
      </c>
      <c r="I54">
        <v>30</v>
      </c>
      <c r="J54">
        <v>36</v>
      </c>
      <c r="K54">
        <v>12</v>
      </c>
      <c r="L54">
        <v>21</v>
      </c>
    </row>
    <row r="55" spans="1:12" hidden="1" outlineLevel="1" x14ac:dyDescent="0.2">
      <c r="A55">
        <v>50</v>
      </c>
      <c r="B55">
        <v>40</v>
      </c>
      <c r="C55">
        <v>29</v>
      </c>
      <c r="D55">
        <v>22</v>
      </c>
      <c r="E55">
        <v>15</v>
      </c>
      <c r="F55">
        <v>19</v>
      </c>
      <c r="G55">
        <v>43</v>
      </c>
      <c r="H55">
        <v>31</v>
      </c>
      <c r="I55">
        <v>31</v>
      </c>
      <c r="J55">
        <v>32</v>
      </c>
      <c r="K55">
        <v>13</v>
      </c>
      <c r="L55">
        <v>19</v>
      </c>
    </row>
    <row r="56" spans="1:12" hidden="1" outlineLevel="1" x14ac:dyDescent="0.2">
      <c r="A56">
        <v>51</v>
      </c>
      <c r="B56">
        <v>38</v>
      </c>
      <c r="C56">
        <v>32</v>
      </c>
      <c r="D56">
        <v>22</v>
      </c>
      <c r="E56">
        <v>14</v>
      </c>
      <c r="F56">
        <v>18</v>
      </c>
      <c r="G56">
        <v>39</v>
      </c>
      <c r="H56">
        <v>31</v>
      </c>
      <c r="I56">
        <v>32</v>
      </c>
      <c r="J56">
        <v>34</v>
      </c>
      <c r="K56">
        <v>11</v>
      </c>
      <c r="L56">
        <v>17</v>
      </c>
    </row>
    <row r="57" spans="1:12" hidden="1" outlineLevel="1" x14ac:dyDescent="0.2">
      <c r="A57">
        <v>52</v>
      </c>
      <c r="B57">
        <v>41</v>
      </c>
      <c r="C57">
        <v>35</v>
      </c>
      <c r="D57">
        <v>19</v>
      </c>
      <c r="E57">
        <v>15</v>
      </c>
      <c r="F57">
        <v>17</v>
      </c>
      <c r="G57">
        <v>42</v>
      </c>
      <c r="H57">
        <v>30</v>
      </c>
      <c r="I57">
        <v>31</v>
      </c>
      <c r="J57">
        <v>32</v>
      </c>
      <c r="K57">
        <v>11</v>
      </c>
      <c r="L57">
        <v>20</v>
      </c>
    </row>
    <row r="58" spans="1:12" hidden="1" outlineLevel="1" x14ac:dyDescent="0.2">
      <c r="A58">
        <v>53</v>
      </c>
      <c r="B58">
        <v>40</v>
      </c>
      <c r="C58">
        <v>31</v>
      </c>
      <c r="D58">
        <v>22</v>
      </c>
      <c r="E58">
        <v>16</v>
      </c>
      <c r="F58">
        <v>20</v>
      </c>
      <c r="G58">
        <v>43</v>
      </c>
      <c r="H58">
        <v>32</v>
      </c>
      <c r="I58">
        <v>32</v>
      </c>
      <c r="J58">
        <v>34</v>
      </c>
      <c r="K58">
        <v>9</v>
      </c>
      <c r="L58">
        <v>17</v>
      </c>
    </row>
    <row r="59" spans="1:12" hidden="1" outlineLevel="1" x14ac:dyDescent="0.2">
      <c r="A59">
        <v>54</v>
      </c>
      <c r="B59">
        <v>39</v>
      </c>
      <c r="C59">
        <v>33</v>
      </c>
      <c r="D59">
        <v>21</v>
      </c>
      <c r="E59">
        <v>15</v>
      </c>
      <c r="F59">
        <v>19</v>
      </c>
      <c r="G59">
        <v>40</v>
      </c>
      <c r="H59">
        <v>31</v>
      </c>
      <c r="I59">
        <v>30</v>
      </c>
      <c r="J59">
        <v>33</v>
      </c>
      <c r="K59">
        <v>14</v>
      </c>
      <c r="L59">
        <v>21</v>
      </c>
    </row>
    <row r="60" spans="1:12" hidden="1" outlineLevel="1" x14ac:dyDescent="0.2">
      <c r="A60">
        <v>55</v>
      </c>
      <c r="B60">
        <v>36</v>
      </c>
      <c r="C60">
        <v>34</v>
      </c>
      <c r="D60">
        <v>19</v>
      </c>
      <c r="E60">
        <v>14</v>
      </c>
      <c r="F60">
        <v>21</v>
      </c>
      <c r="G60">
        <v>41</v>
      </c>
      <c r="H60">
        <v>29</v>
      </c>
      <c r="I60">
        <v>29</v>
      </c>
      <c r="J60">
        <v>35</v>
      </c>
      <c r="K60">
        <v>12</v>
      </c>
      <c r="L60">
        <v>20</v>
      </c>
    </row>
    <row r="61" spans="1:12" hidden="1" outlineLevel="1" x14ac:dyDescent="0.2">
      <c r="A61">
        <v>56</v>
      </c>
      <c r="B61">
        <v>39</v>
      </c>
      <c r="C61">
        <v>34</v>
      </c>
      <c r="D61">
        <v>23</v>
      </c>
      <c r="E61">
        <v>16</v>
      </c>
      <c r="F61">
        <v>18</v>
      </c>
      <c r="G61">
        <v>39</v>
      </c>
      <c r="H61">
        <v>29</v>
      </c>
      <c r="I61">
        <v>32</v>
      </c>
      <c r="J61">
        <v>32</v>
      </c>
      <c r="K61">
        <v>12</v>
      </c>
      <c r="L61">
        <v>18</v>
      </c>
    </row>
    <row r="62" spans="1:12" hidden="1" outlineLevel="1" x14ac:dyDescent="0.2">
      <c r="A62">
        <v>57</v>
      </c>
      <c r="B62">
        <v>36</v>
      </c>
      <c r="C62">
        <v>34</v>
      </c>
      <c r="D62">
        <v>21</v>
      </c>
      <c r="E62">
        <v>17</v>
      </c>
      <c r="F62">
        <v>20</v>
      </c>
      <c r="G62">
        <v>42</v>
      </c>
      <c r="H62">
        <v>32</v>
      </c>
      <c r="I62">
        <v>32</v>
      </c>
      <c r="J62">
        <v>34</v>
      </c>
      <c r="K62">
        <v>10</v>
      </c>
      <c r="L62">
        <v>20</v>
      </c>
    </row>
    <row r="63" spans="1:12" hidden="1" outlineLevel="1" x14ac:dyDescent="0.2">
      <c r="A63">
        <v>58</v>
      </c>
      <c r="B63">
        <v>41</v>
      </c>
      <c r="C63">
        <v>33</v>
      </c>
      <c r="D63">
        <v>20</v>
      </c>
      <c r="E63">
        <v>17</v>
      </c>
      <c r="F63">
        <v>20</v>
      </c>
      <c r="G63">
        <v>37</v>
      </c>
      <c r="H63">
        <v>30</v>
      </c>
      <c r="I63">
        <v>33</v>
      </c>
      <c r="J63">
        <v>38</v>
      </c>
      <c r="K63">
        <v>12</v>
      </c>
      <c r="L63">
        <v>18</v>
      </c>
    </row>
    <row r="64" spans="1:12" hidden="1" outlineLevel="1" x14ac:dyDescent="0.2">
      <c r="A64">
        <v>59</v>
      </c>
      <c r="B64">
        <v>40</v>
      </c>
      <c r="C64">
        <v>32</v>
      </c>
      <c r="D64">
        <v>21</v>
      </c>
      <c r="E64">
        <v>16</v>
      </c>
      <c r="F64">
        <v>18</v>
      </c>
      <c r="G64">
        <v>41</v>
      </c>
      <c r="H64">
        <v>30</v>
      </c>
      <c r="I64">
        <v>28</v>
      </c>
      <c r="J64">
        <v>33</v>
      </c>
      <c r="K64">
        <v>14</v>
      </c>
      <c r="L64">
        <v>19</v>
      </c>
    </row>
    <row r="65" spans="1:12" hidden="1" outlineLevel="1" x14ac:dyDescent="0.2">
      <c r="A65">
        <v>60</v>
      </c>
      <c r="B65">
        <v>39</v>
      </c>
      <c r="C65">
        <v>34</v>
      </c>
      <c r="D65">
        <v>21</v>
      </c>
      <c r="E65">
        <v>16</v>
      </c>
      <c r="F65">
        <v>20</v>
      </c>
      <c r="G65">
        <v>38</v>
      </c>
      <c r="H65">
        <v>29</v>
      </c>
      <c r="I65">
        <v>31</v>
      </c>
      <c r="J65">
        <v>34</v>
      </c>
      <c r="K65">
        <v>15</v>
      </c>
      <c r="L65">
        <v>17</v>
      </c>
    </row>
    <row r="66" spans="1:12" hidden="1" outlineLevel="1" x14ac:dyDescent="0.2">
      <c r="A66">
        <v>61</v>
      </c>
      <c r="B66">
        <v>38</v>
      </c>
      <c r="C66">
        <v>32</v>
      </c>
      <c r="D66">
        <v>22</v>
      </c>
      <c r="E66">
        <v>17</v>
      </c>
      <c r="F66">
        <v>20</v>
      </c>
      <c r="G66">
        <v>41</v>
      </c>
      <c r="H66">
        <v>31</v>
      </c>
      <c r="I66">
        <v>27</v>
      </c>
      <c r="J66">
        <v>30</v>
      </c>
      <c r="K66">
        <v>8</v>
      </c>
      <c r="L66">
        <v>18</v>
      </c>
    </row>
    <row r="67" spans="1:12" hidden="1" outlineLevel="1" x14ac:dyDescent="0.2">
      <c r="A67">
        <v>62</v>
      </c>
      <c r="B67">
        <v>38</v>
      </c>
      <c r="C67">
        <v>30</v>
      </c>
      <c r="D67">
        <v>22</v>
      </c>
      <c r="E67">
        <v>16</v>
      </c>
      <c r="F67">
        <v>19</v>
      </c>
      <c r="G67">
        <v>41</v>
      </c>
      <c r="H67">
        <v>30</v>
      </c>
      <c r="I67">
        <v>31</v>
      </c>
      <c r="J67">
        <v>33</v>
      </c>
      <c r="K67">
        <v>14</v>
      </c>
      <c r="L67">
        <v>18</v>
      </c>
    </row>
    <row r="68" spans="1:12" hidden="1" outlineLevel="1" x14ac:dyDescent="0.2">
      <c r="A68">
        <v>63</v>
      </c>
      <c r="B68">
        <v>36</v>
      </c>
      <c r="C68">
        <v>29</v>
      </c>
      <c r="D68">
        <v>21</v>
      </c>
      <c r="E68">
        <v>16</v>
      </c>
      <c r="F68">
        <v>18</v>
      </c>
      <c r="G68">
        <v>38</v>
      </c>
      <c r="H68">
        <v>31</v>
      </c>
      <c r="I68">
        <v>30</v>
      </c>
      <c r="J68">
        <v>33</v>
      </c>
      <c r="K68">
        <v>11</v>
      </c>
      <c r="L68">
        <v>21</v>
      </c>
    </row>
    <row r="69" spans="1:12" hidden="1" outlineLevel="1" x14ac:dyDescent="0.2">
      <c r="A69">
        <v>64</v>
      </c>
      <c r="B69">
        <v>40</v>
      </c>
      <c r="C69">
        <v>31</v>
      </c>
      <c r="D69">
        <v>19</v>
      </c>
      <c r="E69">
        <v>17</v>
      </c>
      <c r="F69">
        <v>16</v>
      </c>
      <c r="G69">
        <v>41</v>
      </c>
      <c r="H69">
        <v>29</v>
      </c>
      <c r="I69">
        <v>31</v>
      </c>
      <c r="J69">
        <v>33</v>
      </c>
      <c r="K69">
        <v>12</v>
      </c>
      <c r="L69">
        <v>19</v>
      </c>
    </row>
    <row r="70" spans="1:12" hidden="1" outlineLevel="1" x14ac:dyDescent="0.2">
      <c r="A70">
        <v>65</v>
      </c>
      <c r="B70">
        <v>39</v>
      </c>
      <c r="C70">
        <v>32</v>
      </c>
      <c r="D70">
        <v>25</v>
      </c>
      <c r="E70">
        <v>18</v>
      </c>
      <c r="F70">
        <v>19</v>
      </c>
      <c r="G70">
        <v>39</v>
      </c>
      <c r="H70">
        <v>33</v>
      </c>
      <c r="I70">
        <v>32</v>
      </c>
      <c r="J70">
        <v>35</v>
      </c>
      <c r="K70">
        <v>12</v>
      </c>
      <c r="L70">
        <v>17</v>
      </c>
    </row>
    <row r="71" spans="1:12" hidden="1" outlineLevel="1" x14ac:dyDescent="0.2">
      <c r="A71">
        <v>66</v>
      </c>
      <c r="B71">
        <v>38</v>
      </c>
      <c r="C71">
        <v>31</v>
      </c>
      <c r="D71">
        <v>23</v>
      </c>
      <c r="E71">
        <v>20</v>
      </c>
      <c r="F71">
        <v>19</v>
      </c>
      <c r="G71">
        <v>42</v>
      </c>
      <c r="H71">
        <v>31</v>
      </c>
      <c r="I71">
        <v>28</v>
      </c>
      <c r="J71">
        <v>35</v>
      </c>
      <c r="K71">
        <v>12</v>
      </c>
      <c r="L71">
        <v>19</v>
      </c>
    </row>
    <row r="72" spans="1:12" hidden="1" outlineLevel="1" x14ac:dyDescent="0.2">
      <c r="A72">
        <v>67</v>
      </c>
      <c r="B72">
        <v>38</v>
      </c>
      <c r="C72">
        <v>32</v>
      </c>
      <c r="D72">
        <v>20</v>
      </c>
      <c r="E72">
        <v>14</v>
      </c>
      <c r="F72">
        <v>16</v>
      </c>
      <c r="G72">
        <v>40</v>
      </c>
      <c r="H72">
        <v>27</v>
      </c>
      <c r="I72">
        <v>32</v>
      </c>
      <c r="J72">
        <v>35</v>
      </c>
      <c r="K72">
        <v>11</v>
      </c>
      <c r="L72">
        <v>18</v>
      </c>
    </row>
    <row r="73" spans="1:12" hidden="1" outlineLevel="1" x14ac:dyDescent="0.2">
      <c r="A73">
        <v>68</v>
      </c>
      <c r="B73">
        <v>40</v>
      </c>
      <c r="C73">
        <v>31</v>
      </c>
      <c r="D73">
        <v>21</v>
      </c>
      <c r="E73">
        <v>17</v>
      </c>
      <c r="F73">
        <v>20</v>
      </c>
      <c r="G73">
        <v>39</v>
      </c>
      <c r="H73">
        <v>29</v>
      </c>
      <c r="I73">
        <v>29</v>
      </c>
      <c r="J73">
        <v>36</v>
      </c>
      <c r="K73">
        <v>12</v>
      </c>
      <c r="L73">
        <v>17</v>
      </c>
    </row>
    <row r="74" spans="1:12" hidden="1" outlineLevel="1" x14ac:dyDescent="0.2">
      <c r="A74">
        <v>69</v>
      </c>
      <c r="B74">
        <v>36</v>
      </c>
      <c r="C74">
        <v>33</v>
      </c>
      <c r="D74">
        <v>21</v>
      </c>
      <c r="E74">
        <v>18</v>
      </c>
      <c r="F74">
        <v>16</v>
      </c>
      <c r="G74">
        <v>42</v>
      </c>
      <c r="H74">
        <v>28</v>
      </c>
      <c r="I74">
        <v>31</v>
      </c>
      <c r="J74">
        <v>33</v>
      </c>
      <c r="K74">
        <v>11</v>
      </c>
      <c r="L74">
        <v>19</v>
      </c>
    </row>
    <row r="75" spans="1:12" hidden="1" outlineLevel="1" x14ac:dyDescent="0.2">
      <c r="A75">
        <v>70</v>
      </c>
      <c r="B75">
        <v>41</v>
      </c>
      <c r="C75">
        <v>30</v>
      </c>
      <c r="D75">
        <v>22</v>
      </c>
      <c r="E75">
        <v>16</v>
      </c>
      <c r="F75">
        <v>19</v>
      </c>
      <c r="G75">
        <v>39</v>
      </c>
      <c r="H75">
        <v>32</v>
      </c>
      <c r="I75">
        <v>31</v>
      </c>
      <c r="J75">
        <v>36</v>
      </c>
      <c r="K75">
        <v>14</v>
      </c>
      <c r="L75">
        <v>19</v>
      </c>
    </row>
    <row r="76" spans="1:12" hidden="1" outlineLevel="1" x14ac:dyDescent="0.2">
      <c r="A76">
        <v>71</v>
      </c>
      <c r="B76">
        <v>40</v>
      </c>
      <c r="C76">
        <v>30</v>
      </c>
      <c r="D76">
        <v>21</v>
      </c>
      <c r="E76">
        <v>16</v>
      </c>
      <c r="F76">
        <v>17</v>
      </c>
      <c r="G76">
        <v>42</v>
      </c>
      <c r="H76">
        <v>31</v>
      </c>
      <c r="I76">
        <v>32</v>
      </c>
      <c r="J76">
        <v>34</v>
      </c>
      <c r="K76">
        <v>12</v>
      </c>
      <c r="L76">
        <v>19</v>
      </c>
    </row>
    <row r="77" spans="1:12" hidden="1" outlineLevel="1" x14ac:dyDescent="0.2">
      <c r="A77">
        <v>72</v>
      </c>
      <c r="B77">
        <v>37</v>
      </c>
      <c r="C77">
        <v>29</v>
      </c>
      <c r="D77">
        <v>24</v>
      </c>
      <c r="E77">
        <v>17</v>
      </c>
      <c r="F77">
        <v>16</v>
      </c>
      <c r="G77">
        <v>41</v>
      </c>
      <c r="H77">
        <v>29</v>
      </c>
      <c r="I77">
        <v>30</v>
      </c>
      <c r="J77">
        <v>32</v>
      </c>
      <c r="K77">
        <v>14</v>
      </c>
      <c r="L77">
        <v>18</v>
      </c>
    </row>
    <row r="78" spans="1:12" hidden="1" outlineLevel="1" x14ac:dyDescent="0.2">
      <c r="A78">
        <v>73</v>
      </c>
      <c r="B78">
        <v>37</v>
      </c>
      <c r="C78">
        <v>34</v>
      </c>
      <c r="D78">
        <v>23</v>
      </c>
      <c r="E78">
        <v>17</v>
      </c>
      <c r="F78">
        <v>19</v>
      </c>
      <c r="G78">
        <v>40</v>
      </c>
      <c r="H78">
        <v>30</v>
      </c>
      <c r="I78">
        <v>28</v>
      </c>
      <c r="J78">
        <v>35</v>
      </c>
      <c r="K78">
        <v>12</v>
      </c>
      <c r="L78">
        <v>18</v>
      </c>
    </row>
    <row r="79" spans="1:12" hidden="1" outlineLevel="1" x14ac:dyDescent="0.2">
      <c r="A79">
        <v>74</v>
      </c>
      <c r="B79">
        <v>40</v>
      </c>
      <c r="C79">
        <v>35</v>
      </c>
      <c r="D79">
        <v>21</v>
      </c>
      <c r="E79">
        <v>14</v>
      </c>
      <c r="F79">
        <v>20</v>
      </c>
      <c r="G79">
        <v>39</v>
      </c>
      <c r="H79">
        <v>30</v>
      </c>
      <c r="I79">
        <v>31</v>
      </c>
      <c r="J79">
        <v>35</v>
      </c>
      <c r="K79">
        <v>13</v>
      </c>
      <c r="L79">
        <v>21</v>
      </c>
    </row>
    <row r="80" spans="1:12" hidden="1" outlineLevel="1" x14ac:dyDescent="0.2">
      <c r="A80">
        <v>75</v>
      </c>
      <c r="B80">
        <v>39</v>
      </c>
      <c r="C80">
        <v>29</v>
      </c>
      <c r="D80">
        <v>17</v>
      </c>
      <c r="E80">
        <v>17</v>
      </c>
      <c r="F80">
        <v>19</v>
      </c>
      <c r="G80">
        <v>41</v>
      </c>
      <c r="H80">
        <v>33</v>
      </c>
      <c r="I80">
        <v>30</v>
      </c>
      <c r="J80">
        <v>31</v>
      </c>
      <c r="K80">
        <v>11</v>
      </c>
      <c r="L80">
        <v>19</v>
      </c>
    </row>
    <row r="81" spans="1:12" hidden="1" outlineLevel="1" x14ac:dyDescent="0.2">
      <c r="A81">
        <v>76</v>
      </c>
      <c r="B81">
        <v>40</v>
      </c>
      <c r="C81">
        <v>35</v>
      </c>
      <c r="D81">
        <v>21</v>
      </c>
      <c r="E81">
        <v>18</v>
      </c>
      <c r="F81">
        <v>18</v>
      </c>
      <c r="G81">
        <v>38</v>
      </c>
      <c r="H81">
        <v>32</v>
      </c>
      <c r="I81">
        <v>30</v>
      </c>
      <c r="J81">
        <v>30</v>
      </c>
      <c r="K81">
        <v>14</v>
      </c>
      <c r="L81">
        <v>20</v>
      </c>
    </row>
    <row r="82" spans="1:12" hidden="1" outlineLevel="1" x14ac:dyDescent="0.2">
      <c r="A82">
        <v>77</v>
      </c>
      <c r="B82">
        <v>40</v>
      </c>
      <c r="C82">
        <v>31</v>
      </c>
      <c r="D82">
        <v>22</v>
      </c>
      <c r="E82">
        <v>18</v>
      </c>
      <c r="F82">
        <v>14</v>
      </c>
      <c r="G82">
        <v>38</v>
      </c>
      <c r="H82">
        <v>29</v>
      </c>
      <c r="I82">
        <v>32</v>
      </c>
      <c r="J82">
        <v>33</v>
      </c>
      <c r="K82">
        <v>10</v>
      </c>
      <c r="L82">
        <v>17</v>
      </c>
    </row>
    <row r="83" spans="1:12" hidden="1" outlineLevel="1" x14ac:dyDescent="0.2">
      <c r="A83">
        <v>78</v>
      </c>
      <c r="B83">
        <v>37</v>
      </c>
      <c r="C83">
        <v>29</v>
      </c>
      <c r="D83">
        <v>20</v>
      </c>
      <c r="E83">
        <v>14</v>
      </c>
      <c r="F83">
        <v>18</v>
      </c>
      <c r="G83">
        <v>40</v>
      </c>
      <c r="H83">
        <v>31</v>
      </c>
      <c r="I83">
        <v>31</v>
      </c>
      <c r="J83">
        <v>33</v>
      </c>
      <c r="K83">
        <v>14</v>
      </c>
      <c r="L83">
        <v>20</v>
      </c>
    </row>
    <row r="84" spans="1:12" hidden="1" outlineLevel="1" x14ac:dyDescent="0.2">
      <c r="A84">
        <v>79</v>
      </c>
      <c r="B84">
        <v>38</v>
      </c>
      <c r="C84">
        <v>27</v>
      </c>
      <c r="D84">
        <v>19</v>
      </c>
      <c r="E84">
        <v>16</v>
      </c>
      <c r="F84">
        <v>17</v>
      </c>
      <c r="G84">
        <v>39</v>
      </c>
      <c r="H84">
        <v>32</v>
      </c>
      <c r="I84">
        <v>30</v>
      </c>
      <c r="J84">
        <v>37</v>
      </c>
      <c r="K84">
        <v>13</v>
      </c>
      <c r="L84">
        <v>20</v>
      </c>
    </row>
    <row r="85" spans="1:12" hidden="1" outlineLevel="1" x14ac:dyDescent="0.2">
      <c r="A85">
        <v>80</v>
      </c>
      <c r="B85">
        <v>42</v>
      </c>
      <c r="C85">
        <v>33</v>
      </c>
      <c r="D85">
        <v>22</v>
      </c>
      <c r="E85">
        <v>15</v>
      </c>
      <c r="F85">
        <v>19</v>
      </c>
      <c r="G85">
        <v>39</v>
      </c>
      <c r="H85">
        <v>30</v>
      </c>
      <c r="I85">
        <v>32</v>
      </c>
      <c r="J85">
        <v>36</v>
      </c>
      <c r="K85">
        <v>12</v>
      </c>
      <c r="L85">
        <v>18</v>
      </c>
    </row>
    <row r="86" spans="1:12" hidden="1" outlineLevel="1" x14ac:dyDescent="0.2">
      <c r="A86">
        <v>81</v>
      </c>
      <c r="B86">
        <v>38</v>
      </c>
      <c r="C86">
        <v>32</v>
      </c>
      <c r="D86">
        <v>20</v>
      </c>
      <c r="E86">
        <v>17</v>
      </c>
      <c r="F86">
        <v>17</v>
      </c>
      <c r="G86">
        <v>38</v>
      </c>
      <c r="H86">
        <v>30</v>
      </c>
      <c r="I86">
        <v>30</v>
      </c>
      <c r="J86">
        <v>33</v>
      </c>
      <c r="K86">
        <v>11</v>
      </c>
      <c r="L86">
        <v>19</v>
      </c>
    </row>
    <row r="87" spans="1:12" hidden="1" outlineLevel="1" x14ac:dyDescent="0.2">
      <c r="A87">
        <v>82</v>
      </c>
      <c r="B87">
        <v>38</v>
      </c>
      <c r="C87">
        <v>29</v>
      </c>
      <c r="D87">
        <v>17</v>
      </c>
      <c r="E87">
        <v>15</v>
      </c>
      <c r="F87">
        <v>20</v>
      </c>
      <c r="G87">
        <v>38</v>
      </c>
      <c r="H87">
        <v>31</v>
      </c>
      <c r="I87">
        <v>29</v>
      </c>
      <c r="J87">
        <v>33</v>
      </c>
      <c r="K87">
        <v>15</v>
      </c>
      <c r="L87">
        <v>18</v>
      </c>
    </row>
    <row r="88" spans="1:12" hidden="1" outlineLevel="1" x14ac:dyDescent="0.2">
      <c r="A88">
        <v>83</v>
      </c>
      <c r="B88">
        <v>37</v>
      </c>
      <c r="C88">
        <v>31</v>
      </c>
      <c r="D88">
        <v>21</v>
      </c>
      <c r="E88">
        <v>16</v>
      </c>
      <c r="F88">
        <v>19</v>
      </c>
      <c r="G88">
        <v>39</v>
      </c>
      <c r="H88">
        <v>30</v>
      </c>
      <c r="I88">
        <v>32</v>
      </c>
      <c r="J88">
        <v>36</v>
      </c>
      <c r="K88">
        <v>14</v>
      </c>
      <c r="L88">
        <v>18</v>
      </c>
    </row>
    <row r="89" spans="1:12" hidden="1" outlineLevel="1" x14ac:dyDescent="0.2">
      <c r="A89">
        <v>84</v>
      </c>
      <c r="B89">
        <v>36</v>
      </c>
      <c r="C89">
        <v>31</v>
      </c>
      <c r="D89">
        <v>21</v>
      </c>
      <c r="E89">
        <v>18</v>
      </c>
      <c r="F89">
        <v>18</v>
      </c>
      <c r="G89">
        <v>41</v>
      </c>
      <c r="H89">
        <v>33</v>
      </c>
      <c r="I89">
        <v>32</v>
      </c>
      <c r="J89">
        <v>31</v>
      </c>
      <c r="K89">
        <v>15</v>
      </c>
      <c r="L89">
        <v>21</v>
      </c>
    </row>
    <row r="90" spans="1:12" hidden="1" outlineLevel="1" x14ac:dyDescent="0.2">
      <c r="A90">
        <v>85</v>
      </c>
      <c r="B90">
        <v>42</v>
      </c>
      <c r="C90">
        <v>33</v>
      </c>
      <c r="D90">
        <v>22</v>
      </c>
      <c r="E90">
        <v>15</v>
      </c>
      <c r="F90">
        <v>18</v>
      </c>
      <c r="G90">
        <v>42</v>
      </c>
      <c r="H90">
        <v>31</v>
      </c>
      <c r="I90">
        <v>32</v>
      </c>
      <c r="J90">
        <v>32</v>
      </c>
      <c r="K90">
        <v>11</v>
      </c>
      <c r="L90">
        <v>21</v>
      </c>
    </row>
    <row r="91" spans="1:12" hidden="1" outlineLevel="1" x14ac:dyDescent="0.2">
      <c r="A91">
        <v>86</v>
      </c>
      <c r="B91">
        <v>38</v>
      </c>
      <c r="C91">
        <v>32</v>
      </c>
      <c r="D91">
        <v>20</v>
      </c>
      <c r="E91">
        <v>15</v>
      </c>
      <c r="F91">
        <v>16</v>
      </c>
      <c r="G91">
        <v>43</v>
      </c>
      <c r="H91">
        <v>30</v>
      </c>
      <c r="I91">
        <v>31</v>
      </c>
      <c r="J91">
        <v>31</v>
      </c>
      <c r="K91">
        <v>13</v>
      </c>
      <c r="L91">
        <v>17</v>
      </c>
    </row>
    <row r="92" spans="1:12" hidden="1" outlineLevel="1" x14ac:dyDescent="0.2">
      <c r="A92">
        <v>87</v>
      </c>
      <c r="B92">
        <v>40</v>
      </c>
      <c r="C92">
        <v>30</v>
      </c>
      <c r="D92">
        <v>23</v>
      </c>
      <c r="E92">
        <v>14</v>
      </c>
      <c r="F92">
        <v>17</v>
      </c>
      <c r="G92">
        <v>39</v>
      </c>
      <c r="H92">
        <v>31</v>
      </c>
      <c r="I92">
        <v>28</v>
      </c>
      <c r="J92">
        <v>32</v>
      </c>
      <c r="K92">
        <v>11</v>
      </c>
      <c r="L92">
        <v>19</v>
      </c>
    </row>
    <row r="93" spans="1:12" hidden="1" outlineLevel="1" x14ac:dyDescent="0.2">
      <c r="A93">
        <v>88</v>
      </c>
      <c r="B93">
        <v>37</v>
      </c>
      <c r="C93">
        <v>35</v>
      </c>
      <c r="D93">
        <v>22</v>
      </c>
      <c r="E93">
        <v>17</v>
      </c>
      <c r="F93">
        <v>19</v>
      </c>
      <c r="G93">
        <v>39</v>
      </c>
      <c r="H93">
        <v>31</v>
      </c>
      <c r="I93">
        <v>32</v>
      </c>
      <c r="J93">
        <v>31</v>
      </c>
      <c r="K93">
        <v>15</v>
      </c>
      <c r="L93">
        <v>15</v>
      </c>
    </row>
    <row r="94" spans="1:12" hidden="1" outlineLevel="1" x14ac:dyDescent="0.2">
      <c r="A94">
        <v>89</v>
      </c>
      <c r="B94">
        <v>39</v>
      </c>
      <c r="C94">
        <v>32</v>
      </c>
      <c r="D94">
        <v>20</v>
      </c>
      <c r="E94">
        <v>15</v>
      </c>
      <c r="F94">
        <v>20</v>
      </c>
      <c r="G94">
        <v>42</v>
      </c>
      <c r="H94">
        <v>32</v>
      </c>
      <c r="I94">
        <v>32</v>
      </c>
      <c r="J94">
        <v>32</v>
      </c>
      <c r="K94">
        <v>12</v>
      </c>
      <c r="L94">
        <v>18</v>
      </c>
    </row>
    <row r="95" spans="1:12" hidden="1" outlineLevel="1" x14ac:dyDescent="0.2">
      <c r="A95">
        <v>90</v>
      </c>
      <c r="B95">
        <v>41</v>
      </c>
      <c r="C95">
        <v>32</v>
      </c>
      <c r="D95">
        <v>21</v>
      </c>
      <c r="E95">
        <v>20</v>
      </c>
      <c r="F95">
        <v>18</v>
      </c>
      <c r="G95">
        <v>40</v>
      </c>
      <c r="H95">
        <v>29</v>
      </c>
      <c r="I95">
        <v>28</v>
      </c>
      <c r="J95">
        <v>34</v>
      </c>
      <c r="K95">
        <v>10</v>
      </c>
      <c r="L95">
        <v>19</v>
      </c>
    </row>
    <row r="96" spans="1:12" hidden="1" outlineLevel="1" x14ac:dyDescent="0.2">
      <c r="A96">
        <v>91</v>
      </c>
      <c r="B96">
        <v>39</v>
      </c>
      <c r="C96">
        <v>28</v>
      </c>
      <c r="D96">
        <v>23</v>
      </c>
      <c r="E96">
        <v>18</v>
      </c>
      <c r="F96">
        <v>21</v>
      </c>
      <c r="G96">
        <v>42</v>
      </c>
      <c r="H96">
        <v>31</v>
      </c>
      <c r="I96">
        <v>31</v>
      </c>
      <c r="J96">
        <v>32</v>
      </c>
      <c r="K96">
        <v>13</v>
      </c>
      <c r="L96">
        <v>20</v>
      </c>
    </row>
    <row r="97" spans="1:12" hidden="1" outlineLevel="1" x14ac:dyDescent="0.2">
      <c r="A97">
        <v>92</v>
      </c>
      <c r="B97">
        <v>38</v>
      </c>
      <c r="C97">
        <v>33</v>
      </c>
      <c r="D97">
        <v>21</v>
      </c>
      <c r="E97">
        <v>19</v>
      </c>
      <c r="F97">
        <v>19</v>
      </c>
      <c r="G97">
        <v>39</v>
      </c>
      <c r="H97">
        <v>33</v>
      </c>
      <c r="I97">
        <v>32</v>
      </c>
      <c r="J97">
        <v>37</v>
      </c>
      <c r="K97">
        <v>10</v>
      </c>
      <c r="L97">
        <v>18</v>
      </c>
    </row>
    <row r="98" spans="1:12" hidden="1" outlineLevel="1" x14ac:dyDescent="0.2">
      <c r="A98">
        <v>93</v>
      </c>
      <c r="B98">
        <v>39</v>
      </c>
      <c r="C98">
        <v>31</v>
      </c>
      <c r="D98">
        <v>18</v>
      </c>
      <c r="E98">
        <v>15</v>
      </c>
      <c r="F98">
        <v>19</v>
      </c>
      <c r="G98">
        <v>43</v>
      </c>
      <c r="H98">
        <v>29</v>
      </c>
      <c r="I98">
        <v>29</v>
      </c>
      <c r="J98">
        <v>32</v>
      </c>
      <c r="K98">
        <v>10</v>
      </c>
      <c r="L98">
        <v>16</v>
      </c>
    </row>
    <row r="99" spans="1:12" hidden="1" outlineLevel="1" x14ac:dyDescent="0.2">
      <c r="A99">
        <v>94</v>
      </c>
      <c r="B99">
        <v>39</v>
      </c>
      <c r="C99">
        <v>33</v>
      </c>
      <c r="D99">
        <v>19</v>
      </c>
      <c r="E99">
        <v>13</v>
      </c>
      <c r="F99">
        <v>21</v>
      </c>
      <c r="G99">
        <v>42</v>
      </c>
      <c r="H99">
        <v>32</v>
      </c>
      <c r="I99">
        <v>31</v>
      </c>
      <c r="J99">
        <v>32</v>
      </c>
      <c r="K99">
        <v>13</v>
      </c>
      <c r="L99">
        <v>18</v>
      </c>
    </row>
    <row r="100" spans="1:12" hidden="1" outlineLevel="1" x14ac:dyDescent="0.2">
      <c r="A100">
        <v>95</v>
      </c>
      <c r="B100">
        <v>39</v>
      </c>
      <c r="C100">
        <v>32</v>
      </c>
      <c r="D100">
        <v>21</v>
      </c>
      <c r="E100">
        <v>16</v>
      </c>
      <c r="F100">
        <v>21</v>
      </c>
      <c r="G100">
        <v>37</v>
      </c>
      <c r="H100">
        <v>32</v>
      </c>
      <c r="I100">
        <v>29</v>
      </c>
      <c r="J100">
        <v>33</v>
      </c>
      <c r="K100">
        <v>16</v>
      </c>
      <c r="L100">
        <v>17</v>
      </c>
    </row>
    <row r="101" spans="1:12" hidden="1" outlineLevel="1" x14ac:dyDescent="0.2">
      <c r="A101">
        <v>96</v>
      </c>
      <c r="B101">
        <v>37</v>
      </c>
      <c r="C101">
        <v>30</v>
      </c>
      <c r="D101">
        <v>23</v>
      </c>
      <c r="E101">
        <v>16</v>
      </c>
      <c r="F101">
        <v>22</v>
      </c>
      <c r="G101">
        <v>37</v>
      </c>
      <c r="H101">
        <v>30</v>
      </c>
      <c r="I101">
        <v>29</v>
      </c>
      <c r="J101">
        <v>32</v>
      </c>
      <c r="K101">
        <v>11</v>
      </c>
      <c r="L101">
        <v>18</v>
      </c>
    </row>
    <row r="102" spans="1:12" hidden="1" outlineLevel="1" x14ac:dyDescent="0.2">
      <c r="A102">
        <v>97</v>
      </c>
      <c r="B102">
        <v>37</v>
      </c>
      <c r="C102">
        <v>31</v>
      </c>
      <c r="D102">
        <v>21</v>
      </c>
      <c r="E102">
        <v>18</v>
      </c>
      <c r="F102">
        <v>15</v>
      </c>
      <c r="G102">
        <v>40</v>
      </c>
      <c r="H102">
        <v>30</v>
      </c>
      <c r="I102">
        <v>32</v>
      </c>
      <c r="J102">
        <v>35</v>
      </c>
      <c r="K102">
        <v>12</v>
      </c>
      <c r="L102">
        <v>17</v>
      </c>
    </row>
    <row r="103" spans="1:12" hidden="1" outlineLevel="1" x14ac:dyDescent="0.2">
      <c r="A103">
        <v>98</v>
      </c>
      <c r="B103">
        <v>39</v>
      </c>
      <c r="C103">
        <v>33</v>
      </c>
      <c r="D103">
        <v>22</v>
      </c>
      <c r="E103">
        <v>16</v>
      </c>
      <c r="F103">
        <v>16</v>
      </c>
      <c r="G103">
        <v>42</v>
      </c>
      <c r="H103">
        <v>33</v>
      </c>
      <c r="I103">
        <v>32</v>
      </c>
      <c r="J103">
        <v>33</v>
      </c>
      <c r="K103">
        <v>12</v>
      </c>
      <c r="L103">
        <v>18</v>
      </c>
    </row>
    <row r="104" spans="1:12" hidden="1" outlineLevel="1" x14ac:dyDescent="0.2">
      <c r="A104">
        <v>99</v>
      </c>
      <c r="B104">
        <v>39</v>
      </c>
      <c r="C104">
        <v>33</v>
      </c>
      <c r="D104">
        <v>22</v>
      </c>
      <c r="E104">
        <v>17</v>
      </c>
      <c r="F104">
        <v>17</v>
      </c>
      <c r="G104">
        <v>39</v>
      </c>
      <c r="H104">
        <v>35</v>
      </c>
      <c r="I104">
        <v>30</v>
      </c>
      <c r="J104">
        <v>35</v>
      </c>
      <c r="K104">
        <v>13</v>
      </c>
      <c r="L104">
        <v>19</v>
      </c>
    </row>
    <row r="105" spans="1:12" hidden="1" outlineLevel="1" x14ac:dyDescent="0.2">
      <c r="A105">
        <v>100</v>
      </c>
      <c r="B105">
        <v>38</v>
      </c>
      <c r="C105">
        <v>29</v>
      </c>
      <c r="D105">
        <v>22</v>
      </c>
      <c r="E105">
        <v>15</v>
      </c>
      <c r="F105">
        <v>19</v>
      </c>
      <c r="G105">
        <v>39</v>
      </c>
      <c r="H105">
        <v>32</v>
      </c>
      <c r="I105">
        <v>29</v>
      </c>
      <c r="J105">
        <v>35</v>
      </c>
      <c r="K105">
        <v>12</v>
      </c>
      <c r="L105">
        <v>19</v>
      </c>
    </row>
    <row r="106" spans="1:12" collapsed="1" x14ac:dyDescent="0.2">
      <c r="A106" t="s">
        <v>72</v>
      </c>
      <c r="B106" s="78">
        <f>AVERAGE(B6:B105)</f>
        <v>38.71</v>
      </c>
      <c r="C106" s="78">
        <f t="shared" ref="C106:L106" si="1">AVERAGE(C6:C105)</f>
        <v>31.89</v>
      </c>
      <c r="D106" s="78">
        <f t="shared" si="1"/>
        <v>20.9</v>
      </c>
      <c r="E106" s="78">
        <f t="shared" si="1"/>
        <v>16.21</v>
      </c>
      <c r="F106" s="78">
        <f t="shared" si="1"/>
        <v>18.399999999999999</v>
      </c>
      <c r="G106" s="78">
        <f t="shared" si="1"/>
        <v>40.200000000000003</v>
      </c>
      <c r="H106" s="78">
        <f t="shared" si="1"/>
        <v>30.69</v>
      </c>
      <c r="I106" s="78">
        <f t="shared" si="1"/>
        <v>30.42</v>
      </c>
      <c r="J106" s="78">
        <f t="shared" si="1"/>
        <v>33.78</v>
      </c>
      <c r="K106" s="78">
        <f t="shared" si="1"/>
        <v>12.1</v>
      </c>
      <c r="L106" s="78">
        <f t="shared" si="1"/>
        <v>18.63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23CC-AC17-E94A-909C-1A4EE8BC4333}">
  <sheetPr codeName="Sheet12">
    <tabColor theme="2" tint="-0.89999084444715716"/>
  </sheetPr>
  <dimension ref="C3:AF49"/>
  <sheetViews>
    <sheetView showGridLines="0" tabSelected="1" zoomScaleNormal="100" workbookViewId="0"/>
  </sheetViews>
  <sheetFormatPr baseColWidth="10" defaultRowHeight="16" x14ac:dyDescent="0.2"/>
  <cols>
    <col min="1" max="3" width="10.83203125" style="38"/>
    <col min="4" max="4" width="18" style="38" bestFit="1" customWidth="1"/>
    <col min="5" max="5" width="7.5" style="38" bestFit="1" customWidth="1"/>
    <col min="6" max="6" width="5.33203125" style="38" bestFit="1" customWidth="1"/>
    <col min="7" max="7" width="5.33203125" style="38" customWidth="1"/>
    <col min="8" max="9" width="6.6640625" style="38" customWidth="1"/>
    <col min="10" max="10" width="7.5" style="38" bestFit="1" customWidth="1"/>
    <col min="11" max="13" width="9.83203125" style="38" hidden="1" customWidth="1"/>
    <col min="14" max="15" width="10.83203125" style="38"/>
    <col min="16" max="16" width="13.6640625" style="38" customWidth="1"/>
    <col min="17" max="17" width="3.1640625" style="38" bestFit="1" customWidth="1"/>
    <col min="18" max="18" width="5.5" style="38" bestFit="1" customWidth="1"/>
    <col min="19" max="19" width="15.33203125" style="38" bestFit="1" customWidth="1"/>
    <col min="20" max="20" width="5.5" style="38" bestFit="1" customWidth="1"/>
    <col min="21" max="22" width="13.6640625" style="38" customWidth="1"/>
    <col min="23" max="24" width="10.83203125" style="38"/>
    <col min="25" max="25" width="18" style="38" bestFit="1" customWidth="1"/>
    <col min="26" max="16384" width="10.83203125" style="38"/>
  </cols>
  <sheetData>
    <row r="3" spans="3:32" x14ac:dyDescent="0.2">
      <c r="D3" s="88"/>
      <c r="E3" s="88"/>
      <c r="F3" s="88"/>
      <c r="G3" s="88"/>
      <c r="Y3" s="89"/>
      <c r="Z3" s="89"/>
      <c r="AA3" s="89"/>
      <c r="AB3" s="89"/>
      <c r="AC3" s="89"/>
      <c r="AD3" s="89"/>
      <c r="AE3" s="89"/>
      <c r="AF3" s="89"/>
    </row>
    <row r="4" spans="3:32" x14ac:dyDescent="0.2">
      <c r="D4" s="45"/>
      <c r="E4" s="188" t="s">
        <v>91</v>
      </c>
      <c r="F4" s="188"/>
      <c r="G4" s="196" t="s">
        <v>90</v>
      </c>
      <c r="H4" s="188"/>
      <c r="I4" s="196" t="s">
        <v>71</v>
      </c>
      <c r="J4" s="188"/>
      <c r="K4" s="90"/>
      <c r="L4" s="90"/>
      <c r="M4" s="90"/>
      <c r="Y4" s="89"/>
      <c r="Z4" s="89"/>
      <c r="AA4" s="89"/>
      <c r="AB4" s="89"/>
      <c r="AC4" s="89"/>
      <c r="AD4" s="89"/>
      <c r="AE4" s="89"/>
      <c r="AF4" s="89"/>
    </row>
    <row r="5" spans="3:32" ht="17" thickBot="1" x14ac:dyDescent="0.25">
      <c r="D5" s="101" t="s">
        <v>23</v>
      </c>
      <c r="E5" s="101" t="s">
        <v>48</v>
      </c>
      <c r="F5" s="101" t="s">
        <v>49</v>
      </c>
      <c r="G5" s="153" t="s">
        <v>62</v>
      </c>
      <c r="H5" s="101" t="s">
        <v>87</v>
      </c>
      <c r="I5" s="153" t="s">
        <v>62</v>
      </c>
      <c r="J5" s="101" t="s">
        <v>8</v>
      </c>
      <c r="K5" s="101" t="s">
        <v>70</v>
      </c>
      <c r="L5" s="101" t="s">
        <v>73</v>
      </c>
      <c r="M5" s="101" t="s">
        <v>74</v>
      </c>
      <c r="N5" s="91"/>
      <c r="P5" s="148" t="s">
        <v>88</v>
      </c>
      <c r="Q5" s="101" t="s">
        <v>13</v>
      </c>
      <c r="R5" s="101" t="s">
        <v>14</v>
      </c>
      <c r="S5" s="148" t="s">
        <v>89</v>
      </c>
      <c r="T5" s="101"/>
      <c r="U5" s="148" t="s">
        <v>60</v>
      </c>
      <c r="Y5" s="92"/>
      <c r="Z5" s="92"/>
      <c r="AA5" s="92"/>
      <c r="AB5" s="92"/>
      <c r="AC5" s="92"/>
      <c r="AD5" s="92"/>
      <c r="AE5" s="92"/>
      <c r="AF5" s="89"/>
    </row>
    <row r="6" spans="3:32" x14ac:dyDescent="0.2">
      <c r="C6" s="77"/>
      <c r="D6" s="89" t="s">
        <v>76</v>
      </c>
      <c r="E6" s="143">
        <f>VLOOKUP(D6,'ISL Total'!$D$4:$AH$16,27,0)</f>
        <v>2.227219824518718</v>
      </c>
      <c r="F6" s="143">
        <f>VLOOKUP(D6,'ISL Total'!$D$4:$AH$16,30,0)</f>
        <v>1.8565597037538735</v>
      </c>
      <c r="G6" s="154">
        <f>SUMIF('ISL 8'!$P$5:$P$15,$D6,'ISL 8'!$AI$5:$AI$15)</f>
        <v>4</v>
      </c>
      <c r="H6" s="145">
        <f>SUMIF('ISL 8'!$P$5:$P$15,$D6,'ISL 8'!$AJ$5:$AJ$15)</f>
        <v>20</v>
      </c>
      <c r="I6" s="158">
        <f ca="1">INDEX('Monte Carlo Season'!$B$2:$L$2,,MATCH($D6,'Monte Carlo Season'!$B$4:$L$4,0))</f>
        <v>12</v>
      </c>
      <c r="J6" s="145">
        <f>INDEX('Monte Carlo Season'!$B$106:$L$106,,MATCH($D6,'Monte Carlo Season'!$B$4:$O$4,0))</f>
        <v>38.71</v>
      </c>
      <c r="K6" s="97">
        <f>(J6/MAX($J$6:$J$16))</f>
        <v>0.96293532338308452</v>
      </c>
      <c r="L6" s="97">
        <f>MIN(100%,(J6/AVERAGE($J$6:$J$16))*('ISL 8'!$AC$16/90))</f>
        <v>1</v>
      </c>
      <c r="M6" s="97">
        <f>1-((J6/(MAX($J$6:$J$16))*('ISL 8'!$AC$16/90)))</f>
        <v>0.19755389718076288</v>
      </c>
      <c r="N6" s="77"/>
      <c r="P6" s="89" t="str">
        <f>$D$6</f>
        <v>ATK-MB</v>
      </c>
      <c r="Q6" s="144" t="e">
        <f>INDEX('Monte Carlo Matches'!AY:AY,MATCH(P6&amp;P7,'Monte Carlo Matches'!BA:BA,0),)</f>
        <v>#N/A</v>
      </c>
      <c r="R6" s="144">
        <f ca="1">INDEX('Monte Carlo Matches'!AZ:AZ,MATCH(P7&amp;P6,'Monte Carlo Matches'!BA:BA,0),)</f>
        <v>5</v>
      </c>
      <c r="S6" s="89" t="e">
        <f>IF(SUM(Q6:R6)&gt;SUM(Q7:R7),P6,IF(SUM(Q7:R7)&gt;SUM(Q6:R6),P7,IF(R6&gt;R7,P6,P7)))</f>
        <v>#N/A</v>
      </c>
      <c r="T6" s="64" t="e">
        <f ca="1">(INDEX('Monte Carlo Matches'!AY:AY,MATCH(S6&amp;S7,'Monte Carlo Matches'!BA:BA,0),)+INDEX('Monte Carlo Matches'!AZ:AZ,MATCH(S7&amp;S6,'Monte Carlo Matches'!BA:BA,0),))/2</f>
        <v>#N/A</v>
      </c>
      <c r="U6" s="89" t="e">
        <f ca="1">IF(SUM(T6)&gt;SUM(T7),S6,S7)</f>
        <v>#N/A</v>
      </c>
      <c r="Y6" s="89"/>
      <c r="Z6" s="93"/>
      <c r="AA6" s="93"/>
      <c r="AB6" s="93"/>
      <c r="AC6" s="93"/>
      <c r="AD6" s="94"/>
      <c r="AE6" s="94"/>
      <c r="AF6" s="89"/>
    </row>
    <row r="7" spans="3:32" x14ac:dyDescent="0.2">
      <c r="C7" s="77"/>
      <c r="D7" s="89" t="s">
        <v>85</v>
      </c>
      <c r="E7" s="143">
        <f>VLOOKUP(D7,'ISL Total'!$D$4:$AH$16,27,0)</f>
        <v>2.4013440495920859</v>
      </c>
      <c r="F7" s="143">
        <f>VLOOKUP(D7,'ISL Total'!$D$4:$AH$16,30,0)</f>
        <v>1.5731073956773414</v>
      </c>
      <c r="G7" s="154">
        <f>SUMIF('ISL 8'!$P$5:$P$15,$D7,'ISL 8'!$AI$5:$AI$15)</f>
        <v>20</v>
      </c>
      <c r="H7" s="145">
        <f>SUMIF('ISL 8'!$P$5:$P$15,$D7,'ISL 8'!$AJ$5:$AJ$15)</f>
        <v>26</v>
      </c>
      <c r="I7" s="158">
        <f ca="1">INDEX('Monte Carlo Season'!$B$2:$L$2,,MATCH($D7,'Monte Carlo Season'!$B$4:$L$4,0))</f>
        <v>24</v>
      </c>
      <c r="J7" s="145">
        <f>INDEX('Monte Carlo Season'!$B$106:$L$106,,MATCH($D7,'Monte Carlo Season'!$B$4:$O$4,0))</f>
        <v>40.200000000000003</v>
      </c>
      <c r="K7" s="97">
        <f>(J7/MAX($J$6:$J$16))</f>
        <v>1</v>
      </c>
      <c r="L7" s="97">
        <f>MIN(100%,(J7/AVERAGE($J$6:$J$16))*('ISL 8'!$AC$16/90))</f>
        <v>1</v>
      </c>
      <c r="M7" s="97">
        <f>1-((J7/(MAX($J$6:$J$16))*('ISL 8'!$AC$16/90)))</f>
        <v>0.16666666666666663</v>
      </c>
      <c r="N7" s="77"/>
      <c r="P7" s="89" t="str">
        <f>$D$9</f>
        <v>Jamshedpur</v>
      </c>
      <c r="Q7" s="144" t="e">
        <f>INDEX('Monte Carlo Matches'!AZ:AZ,MATCH(P6&amp;P7,'Monte Carlo Matches'!BA:BA,0),)</f>
        <v>#N/A</v>
      </c>
      <c r="R7" s="144">
        <f ca="1">INDEX('Monte Carlo Matches'!AY:AY,MATCH(P7&amp;P6,'Monte Carlo Matches'!BA:BA,0),)</f>
        <v>4</v>
      </c>
      <c r="S7" s="89" t="str">
        <f ca="1">IF(SUM(Q9:R9)&gt;SUM(Q10:R10),P9,IF(SUM(Q10:R10)&gt;SUM(Q9:R9),P10,IF(R9&gt;R10,P9,P10)))</f>
        <v>Hyderabad</v>
      </c>
      <c r="T7" s="159" t="e">
        <f ca="1">(INDEX('Monte Carlo Matches'!AZ:AZ,MATCH(S6&amp;S7,'Monte Carlo Matches'!BA:BA,0),)+INDEX('Monte Carlo Matches'!AY:AY,MATCH(S7&amp;S6,'Monte Carlo Matches'!BA:BA,0),))/2</f>
        <v>#N/A</v>
      </c>
      <c r="U7" s="89"/>
      <c r="Y7" s="89"/>
      <c r="Z7" s="93"/>
      <c r="AA7" s="93"/>
      <c r="AB7" s="93"/>
      <c r="AC7" s="93"/>
      <c r="AD7" s="94"/>
      <c r="AE7" s="94"/>
      <c r="AF7" s="89"/>
    </row>
    <row r="8" spans="3:32" x14ac:dyDescent="0.2">
      <c r="C8" s="77"/>
      <c r="D8" s="89" t="s">
        <v>86</v>
      </c>
      <c r="E8" s="143">
        <f>VLOOKUP(D8,'ISL Total'!$D$4:$AH$16,27,0)</f>
        <v>2.0730001097828565</v>
      </c>
      <c r="F8" s="143">
        <f>VLOOKUP(D8,'ISL Total'!$D$4:$AH$16,30,0)</f>
        <v>2.0253419158183594</v>
      </c>
      <c r="G8" s="154">
        <f>SUMIF('ISL 8'!$P$5:$P$15,$D8,'ISL 8'!$AI$5:$AI$15)</f>
        <v>2</v>
      </c>
      <c r="H8" s="145">
        <f>SUMIF('ISL 8'!$P$5:$P$15,$D8,'ISL 8'!$AJ$5:$AJ$15)</f>
        <v>19</v>
      </c>
      <c r="I8" s="158">
        <f ca="1">INDEX('Monte Carlo Season'!$B$2:$L$2,,MATCH($D8,'Monte Carlo Season'!$B$4:$L$4,0))</f>
        <v>6</v>
      </c>
      <c r="J8" s="145">
        <f>INDEX('Monte Carlo Season'!$B$106:$L$106,,MATCH($D8,'Monte Carlo Season'!$B$4:$O$4,0))</f>
        <v>33.78</v>
      </c>
      <c r="K8" s="97">
        <f>(J8/MAX($J$6:$J$16))</f>
        <v>0.84029850746268653</v>
      </c>
      <c r="L8" s="97">
        <f>MIN(100%,(J8/AVERAGE($J$6:$J$16))*('ISL 8'!$AC$16/90))</f>
        <v>1</v>
      </c>
      <c r="M8" s="97">
        <f>1-((J8/(MAX($J$6:$J$16))*('ISL 8'!$AC$16/90)))</f>
        <v>0.29975124378109452</v>
      </c>
      <c r="N8" s="77"/>
      <c r="Q8" s="21"/>
      <c r="R8" s="21"/>
      <c r="S8" s="89"/>
      <c r="T8" s="89"/>
      <c r="Y8" s="89"/>
      <c r="Z8" s="93"/>
      <c r="AA8" s="93"/>
      <c r="AB8" s="93"/>
      <c r="AC8" s="93"/>
      <c r="AD8" s="94"/>
      <c r="AE8" s="94"/>
      <c r="AF8" s="89"/>
    </row>
    <row r="9" spans="3:32" x14ac:dyDescent="0.2">
      <c r="C9" s="77"/>
      <c r="D9" s="141" t="s">
        <v>82</v>
      </c>
      <c r="E9" s="146">
        <f>VLOOKUP(D9,'ISL Total'!$D$4:$AH$16,27,0)</f>
        <v>1.9293301062476313</v>
      </c>
      <c r="F9" s="146">
        <f>VLOOKUP(D9,'ISL Total'!$D$4:$AH$16,30,0)</f>
        <v>1.784784179551788</v>
      </c>
      <c r="G9" s="161">
        <f>SUMIF('ISL 8'!$P$5:$P$15,$D9,'ISL 8'!$AI$5:$AI$15)</f>
        <v>7</v>
      </c>
      <c r="H9" s="147">
        <f>SUMIF('ISL 8'!$P$5:$P$15,$D9,'ISL 8'!$AJ$5:$AJ$15)</f>
        <v>22</v>
      </c>
      <c r="I9" s="185">
        <f ca="1">INDEX('Monte Carlo Season'!$B$2:$L$2,,MATCH($D9,'Monte Carlo Season'!$B$4:$L$4,0))</f>
        <v>7</v>
      </c>
      <c r="J9" s="147">
        <f>INDEX('Monte Carlo Season'!$B$106:$L$106,,MATCH($D9,'Monte Carlo Season'!$B$4:$O$4,0))</f>
        <v>30.69</v>
      </c>
      <c r="K9" s="142">
        <f>(J9/MAX($J$6:$J$16))</f>
        <v>0.76343283582089549</v>
      </c>
      <c r="L9" s="142">
        <f>MIN(100%,(J9/AVERAGE($J$6:$J$16))*('ISL 8'!$AC$16/90))</f>
        <v>0.96367279827355878</v>
      </c>
      <c r="M9" s="142">
        <f>1-((J9/(MAX($J$6:$J$16))*('ISL 8'!$AC$16/90)))</f>
        <v>0.36380597014925375</v>
      </c>
      <c r="N9" s="77"/>
      <c r="P9" s="89" t="str">
        <f>$D$7</f>
        <v>Hyderabad</v>
      </c>
      <c r="Q9" s="144">
        <f ca="1">INDEX('Monte Carlo Matches'!AY:AY,MATCH(P9&amp;P10,'Monte Carlo Matches'!BA:BA,0),)</f>
        <v>5</v>
      </c>
      <c r="R9" s="144">
        <f ca="1">INDEX('Monte Carlo Matches'!AZ:AZ,MATCH(P10&amp;P9,'Monte Carlo Matches'!BA:BA,0),)</f>
        <v>5</v>
      </c>
      <c r="Y9" s="89"/>
      <c r="Z9" s="93"/>
      <c r="AA9" s="93"/>
      <c r="AB9" s="93"/>
      <c r="AC9" s="93"/>
      <c r="AD9" s="94"/>
      <c r="AE9" s="94"/>
      <c r="AF9" s="89"/>
    </row>
    <row r="10" spans="3:32" x14ac:dyDescent="0.2">
      <c r="C10" s="77"/>
      <c r="D10" s="89" t="s">
        <v>83</v>
      </c>
      <c r="E10" s="143">
        <f>VLOOKUP(D10,'ISL Total'!$D$4:$AH$16,27,0)</f>
        <v>2.217292770258938</v>
      </c>
      <c r="F10" s="143">
        <f>VLOOKUP(D10,'ISL Total'!$D$4:$AH$16,30,0)</f>
        <v>1.6870047912341426</v>
      </c>
      <c r="G10" s="155">
        <f>SUMIF('ISL 8'!$P$5:$P$15,$D10,'ISL 8'!$AI$5:$AI$15)</f>
        <v>5</v>
      </c>
      <c r="H10" s="145">
        <f>SUMIF('ISL 8'!$P$5:$P$15,$D10,'ISL 8'!$AJ$5:$AJ$15)</f>
        <v>20</v>
      </c>
      <c r="I10" s="158">
        <f ca="1">INDEX('Monte Carlo Season'!$B$2:$L$2,,MATCH($D10,'Monte Carlo Season'!$B$4:$L$4,0))</f>
        <v>10</v>
      </c>
      <c r="J10" s="145">
        <f>INDEX('Monte Carlo Season'!$B$106:$L$106,,MATCH($D10,'Monte Carlo Season'!$B$4:$O$4,0))</f>
        <v>31.89</v>
      </c>
      <c r="K10" s="97">
        <f>(J10/MAX($J$6:$J$16))</f>
        <v>0.79328358208955219</v>
      </c>
      <c r="L10" s="97">
        <f>MIN(100%,(J10/AVERAGE($J$6:$J$16))*('ISL 8'!$AC$16/90))</f>
        <v>1</v>
      </c>
      <c r="M10" s="97">
        <f>1-((J10/(MAX($J$6:$J$16))*('ISL 8'!$AC$16/90)))</f>
        <v>0.33893034825870649</v>
      </c>
      <c r="N10" s="77"/>
      <c r="P10" s="89" t="str">
        <f>$D$8</f>
        <v>Mumbai City</v>
      </c>
      <c r="Q10" s="144">
        <f ca="1">INDEX('Monte Carlo Matches'!AZ:AZ,MATCH(P9&amp;P10,'Monte Carlo Matches'!BA:BA,0),)</f>
        <v>5</v>
      </c>
      <c r="R10" s="144">
        <f ca="1">INDEX('Monte Carlo Matches'!AY:AY,MATCH(P10&amp;P9,'Monte Carlo Matches'!BA:BA,0),)</f>
        <v>3</v>
      </c>
      <c r="S10" s="89"/>
      <c r="U10" s="89"/>
      <c r="Y10" s="89"/>
      <c r="Z10" s="93"/>
      <c r="AA10" s="93"/>
      <c r="AB10" s="93"/>
      <c r="AC10" s="93"/>
      <c r="AD10" s="94"/>
      <c r="AE10" s="94"/>
      <c r="AF10" s="89"/>
    </row>
    <row r="11" spans="3:32" x14ac:dyDescent="0.2">
      <c r="C11" s="77"/>
      <c r="D11" s="89" t="s">
        <v>78</v>
      </c>
      <c r="E11" s="143">
        <f>VLOOKUP(D11,'ISL Total'!$D$4:$AH$16,27,0)</f>
        <v>1.9467726655976225</v>
      </c>
      <c r="F11" s="143">
        <f>VLOOKUP(D11,'ISL Total'!$D$4:$AH$16,30,0)</f>
        <v>1.8315658814129638</v>
      </c>
      <c r="G11" s="154">
        <f>SUMIF('ISL 8'!$P$5:$P$15,$D11,'ISL 8'!$AI$5:$AI$15)</f>
        <v>7</v>
      </c>
      <c r="H11" s="145">
        <f>SUMIF('ISL 8'!$P$5:$P$15,$D11,'ISL 8'!$AJ$5:$AJ$15)</f>
        <v>20</v>
      </c>
      <c r="I11" s="158">
        <f ca="1">INDEX('Monte Carlo Season'!$B$2:$L$2,,MATCH($D11,'Monte Carlo Season'!$B$4:$L$4,0))</f>
        <v>7</v>
      </c>
      <c r="J11" s="145">
        <f>INDEX('Monte Carlo Season'!$B$106:$L$106,,MATCH($D11,'Monte Carlo Season'!$B$4:$O$4,0))</f>
        <v>30.42</v>
      </c>
      <c r="K11" s="97">
        <f>(J11/MAX($J$6:$J$16))</f>
        <v>0.75671641791044775</v>
      </c>
      <c r="L11" s="97">
        <f>MIN(100%,(J11/AVERAGE($J$6:$J$16))*('ISL 8'!$AC$16/90))</f>
        <v>0.95519473846470049</v>
      </c>
      <c r="M11" s="97">
        <f>1-((J11/(MAX($J$6:$J$16))*('ISL 8'!$AC$16/90)))</f>
        <v>0.36940298507462688</v>
      </c>
      <c r="N11" s="77"/>
      <c r="U11" s="89"/>
      <c r="Y11" s="89"/>
      <c r="Z11" s="93"/>
      <c r="AA11" s="93"/>
      <c r="AB11" s="93"/>
      <c r="AC11" s="93"/>
      <c r="AD11" s="94"/>
      <c r="AE11" s="94"/>
      <c r="AF11" s="89"/>
    </row>
    <row r="12" spans="3:32" x14ac:dyDescent="0.2">
      <c r="C12" s="77"/>
      <c r="D12" s="89" t="s">
        <v>84</v>
      </c>
      <c r="E12" s="143">
        <f>VLOOKUP(D12,'ISL Total'!$D$4:$AH$16,27,0)</f>
        <v>1.5878024842255827</v>
      </c>
      <c r="F12" s="143">
        <f>VLOOKUP(D12,'ISL Total'!$D$4:$AH$16,30,0)</f>
        <v>1.9366136268555949</v>
      </c>
      <c r="G12" s="154">
        <f>SUMIF('ISL 8'!$P$5:$P$15,$D12,'ISL 8'!$AI$5:$AI$15)</f>
        <v>-5</v>
      </c>
      <c r="H12" s="145">
        <f>SUMIF('ISL 8'!$P$5:$P$15,$D12,'ISL 8'!$AJ$5:$AJ$15)</f>
        <v>19</v>
      </c>
      <c r="I12" s="158">
        <f ca="1">INDEX('Monte Carlo Season'!$B$2:$L$2,,MATCH($D12,'Monte Carlo Season'!$B$4:$L$4,0))</f>
        <v>-9</v>
      </c>
      <c r="J12" s="145">
        <f>INDEX('Monte Carlo Season'!$B$106:$L$106,,MATCH($D12,'Monte Carlo Season'!$B$4:$O$4,0))</f>
        <v>20.9</v>
      </c>
      <c r="K12" s="97">
        <f>(J12/MAX($J$6:$J$16))</f>
        <v>0.51990049751243772</v>
      </c>
      <c r="L12" s="97">
        <f>MIN(100%,(J12/AVERAGE($J$6:$J$16))*('ISL 8'!$AC$16/90))</f>
        <v>0.65626462964866006</v>
      </c>
      <c r="M12" s="97">
        <f>1-((J12/(MAX($J$6:$J$16))*('ISL 8'!$AC$16/90)))</f>
        <v>0.56674958540630183</v>
      </c>
      <c r="N12" s="77"/>
      <c r="P12" s="89"/>
      <c r="Q12" s="89"/>
      <c r="R12" s="89"/>
      <c r="S12" s="89"/>
      <c r="T12" s="89"/>
      <c r="U12" s="89"/>
      <c r="Y12" s="89"/>
      <c r="Z12" s="93"/>
      <c r="AA12" s="93"/>
      <c r="AB12" s="93"/>
      <c r="AC12" s="93"/>
      <c r="AD12" s="94"/>
      <c r="AE12" s="94"/>
      <c r="AF12" s="89"/>
    </row>
    <row r="13" spans="3:32" x14ac:dyDescent="0.2">
      <c r="C13" s="77"/>
      <c r="D13" s="89" t="s">
        <v>81</v>
      </c>
      <c r="E13" s="143">
        <f>VLOOKUP(D13,'ISL Total'!$D$4:$AH$16,27,0)</f>
        <v>1.1275026897496088</v>
      </c>
      <c r="F13" s="143">
        <f>VLOOKUP(D13,'ISL Total'!$D$4:$AH$16,30,0)</f>
        <v>1.5746690792905582</v>
      </c>
      <c r="G13" s="154">
        <f>SUMIF('ISL 8'!$P$5:$P$15,$D13,'ISL 8'!$AI$5:$AI$15)</f>
        <v>-5</v>
      </c>
      <c r="H13" s="145">
        <f>SUMIF('ISL 8'!$P$5:$P$15,$D13,'ISL 8'!$AJ$5:$AJ$15)</f>
        <v>18</v>
      </c>
      <c r="I13" s="158">
        <f ca="1">INDEX('Monte Carlo Season'!$B$2:$L$2,,MATCH($D13,'Monte Carlo Season'!$B$4:$L$4,0))</f>
        <v>-18</v>
      </c>
      <c r="J13" s="145">
        <f>INDEX('Monte Carlo Season'!$B$106:$L$106,,MATCH($D13,'Monte Carlo Season'!$B$4:$O$4,0))</f>
        <v>18.63</v>
      </c>
      <c r="K13" s="97">
        <f>(J13/MAX($J$6:$J$16))</f>
        <v>0.46343283582089545</v>
      </c>
      <c r="L13" s="97">
        <f>MIN(100%,(J13/AVERAGE($J$6:$J$16))*('ISL 8'!$AC$16/90))</f>
        <v>0.58498612681122186</v>
      </c>
      <c r="M13" s="97">
        <f>1-((J13/(MAX($J$6:$J$16))*('ISL 8'!$AC$16/90)))</f>
        <v>0.61380597014925375</v>
      </c>
      <c r="N13" s="77"/>
      <c r="U13" s="89"/>
      <c r="Y13" s="89"/>
      <c r="Z13" s="93"/>
      <c r="AA13" s="93"/>
      <c r="AB13" s="93"/>
      <c r="AC13" s="93"/>
      <c r="AD13" s="94"/>
      <c r="AE13" s="94"/>
      <c r="AF13" s="89"/>
    </row>
    <row r="14" spans="3:32" x14ac:dyDescent="0.2">
      <c r="C14" s="77"/>
      <c r="D14" s="89" t="s">
        <v>80</v>
      </c>
      <c r="E14" s="143">
        <f>VLOOKUP(D14,'ISL Total'!$D$4:$AH$16,27,0)</f>
        <v>1.9053103335862456</v>
      </c>
      <c r="F14" s="143">
        <f>VLOOKUP(D14,'ISL Total'!$D$4:$AH$16,30,0)</f>
        <v>2.171209738390218</v>
      </c>
      <c r="G14" s="154">
        <f>SUMIF('ISL 8'!$P$5:$P$15,$D14,'ISL 8'!$AI$5:$AI$15)</f>
        <v>-6</v>
      </c>
      <c r="H14" s="145">
        <f>SUMIF('ISL 8'!$P$5:$P$15,$D14,'ISL 8'!$AJ$5:$AJ$15)</f>
        <v>15</v>
      </c>
      <c r="I14" s="155">
        <f ca="1">INDEX('Monte Carlo Season'!$B$2:$L$2,,MATCH($D14,'Monte Carlo Season'!$B$4:$L$4,0))</f>
        <v>-8</v>
      </c>
      <c r="J14" s="145">
        <f>INDEX('Monte Carlo Season'!$B$106:$L$106,,MATCH($D14,'Monte Carlo Season'!$B$4:$O$4,0))</f>
        <v>18.399999999999999</v>
      </c>
      <c r="K14" s="97">
        <f>(J14/MAX($J$6:$J$16))</f>
        <v>0.45771144278606957</v>
      </c>
      <c r="L14" s="97">
        <f>MIN(100%,(J14/AVERAGE($J$6:$J$16))*('ISL 8'!$AC$16/90))</f>
        <v>0.57776407586293521</v>
      </c>
      <c r="M14" s="97">
        <f>1-((J14/(MAX($J$6:$J$16))*('ISL 8'!$AC$16/90)))</f>
        <v>0.61857379767827536</v>
      </c>
      <c r="N14" s="77"/>
      <c r="P14" s="89"/>
      <c r="Q14" s="89"/>
      <c r="R14" s="89"/>
      <c r="S14" s="89"/>
      <c r="T14" s="89"/>
      <c r="U14" s="89"/>
      <c r="Y14" s="89"/>
      <c r="Z14" s="93"/>
      <c r="AA14" s="93"/>
      <c r="AB14" s="93"/>
      <c r="AC14" s="93"/>
      <c r="AD14" s="94"/>
      <c r="AE14" s="94"/>
      <c r="AF14" s="89"/>
    </row>
    <row r="15" spans="3:32" x14ac:dyDescent="0.2">
      <c r="C15" s="77"/>
      <c r="D15" s="89" t="s">
        <v>77</v>
      </c>
      <c r="E15" s="143">
        <f>VLOOKUP(D15,'ISL Total'!$D$4:$AH$16,27,0)</f>
        <v>2.2824248389943262</v>
      </c>
      <c r="F15" s="143">
        <f>VLOOKUP(D15,'ISL Total'!$D$4:$AH$16,30,0)</f>
        <v>2.2944096858966985</v>
      </c>
      <c r="G15" s="154">
        <f>SUMIF('ISL 8'!$P$5:$P$15,$D15,'ISL 8'!$AI$5:$AI$15)</f>
        <v>-14</v>
      </c>
      <c r="H15" s="145">
        <f>SUMIF('ISL 8'!$P$5:$P$15,$D15,'ISL 8'!$AJ$5:$AJ$15)</f>
        <v>10</v>
      </c>
      <c r="I15" s="158">
        <f ca="1">INDEX('Monte Carlo Season'!$B$2:$L$2,,MATCH($D15,'Monte Carlo Season'!$B$4:$L$4,0))</f>
        <v>-13</v>
      </c>
      <c r="J15" s="145">
        <f>INDEX('Monte Carlo Season'!$B$106:$L$106,,MATCH($D15,'Monte Carlo Season'!$B$4:$O$4,0))</f>
        <v>16.21</v>
      </c>
      <c r="K15" s="97">
        <f>(J15/MAX($J$6:$J$16))</f>
        <v>0.40323383084577114</v>
      </c>
      <c r="L15" s="97">
        <f>MIN(100%,(J15/AVERAGE($J$6:$J$16))*('ISL 8'!$AC$16/90))</f>
        <v>0.5089975907466403</v>
      </c>
      <c r="M15" s="97">
        <f>1-((J15/(MAX($J$6:$J$16))*('ISL 8'!$AC$16/90)))</f>
        <v>0.66397180762852404</v>
      </c>
      <c r="N15" s="77"/>
      <c r="Y15" s="89"/>
      <c r="Z15" s="93"/>
      <c r="AA15" s="93"/>
      <c r="AB15" s="93"/>
      <c r="AC15" s="93"/>
      <c r="AD15" s="94"/>
      <c r="AE15" s="94"/>
      <c r="AF15" s="89"/>
    </row>
    <row r="16" spans="3:32" x14ac:dyDescent="0.2">
      <c r="D16" s="89" t="s">
        <v>79</v>
      </c>
      <c r="E16" s="143">
        <f>VLOOKUP(D16,'ISL Total'!$D$4:$AH$16,27,0)</f>
        <v>1.9242329456519134</v>
      </c>
      <c r="F16" s="143">
        <f>VLOOKUP(D16,'ISL Total'!$D$4:$AH$16,30,0)</f>
        <v>2.605973161612464</v>
      </c>
      <c r="G16" s="154">
        <f>SUMIF('ISL 8'!$P$5:$P$15,$D16,'ISL 8'!$AI$5:$AI$15)</f>
        <v>-15</v>
      </c>
      <c r="H16" s="145">
        <f>SUMIF('ISL 8'!$P$5:$P$15,$D16,'ISL 8'!$AJ$5:$AJ$15)</f>
        <v>10</v>
      </c>
      <c r="I16" s="158">
        <f ca="1">INDEX('Monte Carlo Season'!$B$2:$L$2,,MATCH($D16,'Monte Carlo Season'!$B$4:$L$4,0))</f>
        <v>-18</v>
      </c>
      <c r="J16" s="145">
        <f>INDEX('Monte Carlo Season'!$B$106:$L$106,,MATCH($D16,'Monte Carlo Season'!$B$4:$O$4,0))</f>
        <v>12.1</v>
      </c>
      <c r="K16" s="97">
        <f>(J16/MAX($J$6:$J$16))</f>
        <v>0.30099502487562185</v>
      </c>
      <c r="L16" s="97">
        <f>MIN(100%,(J16/AVERAGE($J$6:$J$16))*('ISL 8'!$AC$16/90))</f>
        <v>0.37994268032290845</v>
      </c>
      <c r="M16" s="97">
        <f>1-((J16/(MAX($J$6:$J$16))*('ISL 8'!$AC$16/90)))</f>
        <v>0.74917081260364848</v>
      </c>
      <c r="Y16" s="89"/>
      <c r="Z16" s="89"/>
      <c r="AA16" s="89"/>
      <c r="AB16" s="89"/>
      <c r="AC16" s="89"/>
      <c r="AD16" s="89"/>
      <c r="AE16" s="89"/>
      <c r="AF16" s="89"/>
    </row>
    <row r="17" spans="4:14" x14ac:dyDescent="0.2">
      <c r="H17" s="98"/>
      <c r="I17" s="98"/>
      <c r="J17" s="98"/>
      <c r="K17" s="102"/>
      <c r="L17" s="102"/>
      <c r="M17" s="102"/>
    </row>
    <row r="19" spans="4:14" x14ac:dyDescent="0.2">
      <c r="E19" s="77"/>
    </row>
    <row r="20" spans="4:14" x14ac:dyDescent="0.2">
      <c r="D20" s="128"/>
      <c r="E20" s="129"/>
      <c r="F20" s="129"/>
    </row>
    <row r="21" spans="4:14" x14ac:dyDescent="0.2">
      <c r="D21" s="128"/>
      <c r="E21" s="129"/>
      <c r="F21" s="129"/>
    </row>
    <row r="22" spans="4:14" x14ac:dyDescent="0.2">
      <c r="D22" s="128"/>
      <c r="E22" s="129"/>
      <c r="F22" s="129"/>
      <c r="N22" s="89"/>
    </row>
    <row r="23" spans="4:14" x14ac:dyDescent="0.2">
      <c r="D23" s="156" t="s">
        <v>92</v>
      </c>
      <c r="E23" s="129"/>
      <c r="F23" s="129"/>
      <c r="M23" s="89"/>
      <c r="N23" s="92"/>
    </row>
    <row r="24" spans="4:14" x14ac:dyDescent="0.2">
      <c r="D24" s="128" t="s">
        <v>65</v>
      </c>
      <c r="E24" s="129">
        <v>0.3</v>
      </c>
      <c r="F24" s="129"/>
      <c r="M24" s="92"/>
      <c r="N24" s="89"/>
    </row>
    <row r="25" spans="4:14" x14ac:dyDescent="0.2">
      <c r="D25" s="130" t="s">
        <v>66</v>
      </c>
      <c r="E25" s="131">
        <v>0.7</v>
      </c>
      <c r="F25" s="131"/>
      <c r="G25" s="92"/>
      <c r="H25" s="80"/>
      <c r="I25" s="80"/>
      <c r="K25" s="80"/>
      <c r="L25" s="89"/>
      <c r="M25" s="89"/>
      <c r="N25" s="97"/>
    </row>
    <row r="26" spans="4:14" x14ac:dyDescent="0.2">
      <c r="D26" s="128"/>
      <c r="E26" s="129">
        <f>SUM(E24:E25)</f>
        <v>1</v>
      </c>
      <c r="F26" s="129"/>
      <c r="K26" s="95"/>
      <c r="L26" s="99"/>
      <c r="M26" s="97"/>
      <c r="N26" s="97"/>
    </row>
    <row r="27" spans="4:14" x14ac:dyDescent="0.2">
      <c r="D27" s="130"/>
      <c r="E27" s="131"/>
      <c r="F27" s="131"/>
      <c r="G27" s="92"/>
      <c r="H27" s="80"/>
      <c r="I27" s="80"/>
      <c r="K27" s="95"/>
      <c r="L27" s="99"/>
      <c r="M27" s="97"/>
      <c r="N27" s="97"/>
    </row>
    <row r="28" spans="4:14" x14ac:dyDescent="0.2">
      <c r="D28" s="130"/>
      <c r="E28" s="131"/>
      <c r="F28" s="131"/>
      <c r="G28" s="96"/>
      <c r="H28" s="95"/>
      <c r="I28" s="95"/>
      <c r="K28" s="95"/>
      <c r="L28" s="99"/>
      <c r="M28" s="97"/>
      <c r="N28" s="97"/>
    </row>
    <row r="29" spans="4:14" x14ac:dyDescent="0.2">
      <c r="D29" s="130"/>
      <c r="E29" s="131"/>
      <c r="F29" s="131"/>
      <c r="G29" s="96"/>
      <c r="H29" s="95"/>
      <c r="I29" s="95"/>
      <c r="K29" s="95"/>
      <c r="L29" s="99"/>
      <c r="M29" s="97"/>
      <c r="N29" s="97"/>
    </row>
    <row r="30" spans="4:14" x14ac:dyDescent="0.2">
      <c r="D30" s="130"/>
      <c r="E30" s="131"/>
      <c r="F30" s="131"/>
      <c r="G30" s="95"/>
      <c r="H30" s="95"/>
      <c r="I30" s="95"/>
      <c r="K30" s="95"/>
      <c r="L30" s="99"/>
      <c r="M30" s="97"/>
      <c r="N30" s="97"/>
    </row>
    <row r="31" spans="4:14" x14ac:dyDescent="0.2">
      <c r="D31" s="89"/>
      <c r="E31" s="93"/>
      <c r="F31" s="93"/>
      <c r="G31" s="96"/>
      <c r="H31" s="95"/>
      <c r="I31" s="95"/>
      <c r="K31" s="95"/>
      <c r="L31" s="99"/>
      <c r="M31" s="97"/>
      <c r="N31" s="97"/>
    </row>
    <row r="32" spans="4:14" x14ac:dyDescent="0.2">
      <c r="D32" s="89"/>
      <c r="E32" s="93"/>
      <c r="F32" s="93"/>
      <c r="G32" s="96"/>
      <c r="H32" s="95"/>
      <c r="I32" s="95"/>
      <c r="K32" s="95"/>
      <c r="L32" s="99"/>
      <c r="M32" s="97"/>
      <c r="N32" s="97"/>
    </row>
    <row r="33" spans="4:21" x14ac:dyDescent="0.2">
      <c r="D33" s="89"/>
      <c r="E33" s="93"/>
      <c r="F33" s="93"/>
      <c r="G33" s="96"/>
      <c r="H33" s="95"/>
      <c r="I33" s="95"/>
      <c r="J33" s="95"/>
      <c r="K33" s="95"/>
      <c r="L33" s="99"/>
      <c r="M33" s="97"/>
      <c r="N33" s="97"/>
    </row>
    <row r="34" spans="4:21" x14ac:dyDescent="0.2">
      <c r="D34" s="89"/>
      <c r="E34" s="93"/>
      <c r="F34" s="93"/>
      <c r="G34" s="96"/>
      <c r="H34" s="95"/>
      <c r="I34" s="95"/>
      <c r="J34" s="95"/>
      <c r="K34" s="95"/>
      <c r="L34" s="99"/>
      <c r="M34" s="97"/>
      <c r="N34" s="97"/>
    </row>
    <row r="35" spans="4:21" x14ac:dyDescent="0.2">
      <c r="F35" s="93"/>
      <c r="G35" s="96"/>
      <c r="H35" s="95"/>
      <c r="I35" s="95"/>
      <c r="J35" s="95"/>
      <c r="K35" s="95"/>
      <c r="L35" s="99"/>
      <c r="M35" s="97"/>
    </row>
    <row r="36" spans="4:21" x14ac:dyDescent="0.2">
      <c r="F36" s="93"/>
      <c r="G36" s="96"/>
      <c r="H36" s="95"/>
      <c r="I36" s="95"/>
      <c r="J36" s="95"/>
      <c r="N36" s="89"/>
      <c r="O36" s="89"/>
      <c r="P36" s="89"/>
      <c r="Q36" s="89"/>
      <c r="R36" s="89"/>
      <c r="S36" s="89"/>
      <c r="T36" s="89"/>
      <c r="U36" s="89"/>
    </row>
    <row r="37" spans="4:21" x14ac:dyDescent="0.2">
      <c r="F37" s="93"/>
      <c r="G37" s="96"/>
      <c r="H37" s="95"/>
      <c r="I37" s="95"/>
      <c r="J37" s="95"/>
      <c r="K37" s="92"/>
      <c r="L37" s="92"/>
      <c r="M37" s="92"/>
      <c r="N37" s="89"/>
      <c r="O37" s="89"/>
      <c r="P37" s="92"/>
      <c r="Q37" s="92"/>
      <c r="R37" s="92"/>
      <c r="S37" s="89"/>
      <c r="T37" s="89"/>
      <c r="U37" s="89"/>
    </row>
    <row r="38" spans="4:21" x14ac:dyDescent="0.2">
      <c r="K38" s="97"/>
      <c r="L38" s="97"/>
      <c r="M38" s="97"/>
      <c r="N38" s="97"/>
      <c r="O38" s="89"/>
      <c r="P38" s="89"/>
      <c r="Q38" s="96"/>
      <c r="R38" s="96"/>
      <c r="S38" s="92"/>
      <c r="T38" s="89"/>
      <c r="U38" s="89"/>
    </row>
    <row r="39" spans="4:21" x14ac:dyDescent="0.2">
      <c r="K39" s="97"/>
      <c r="L39" s="97"/>
      <c r="M39" s="97"/>
      <c r="N39" s="89"/>
      <c r="O39" s="89"/>
      <c r="P39" s="89"/>
      <c r="Q39" s="96"/>
      <c r="R39" s="96"/>
      <c r="S39" s="89"/>
      <c r="T39" s="96"/>
      <c r="U39" s="89"/>
    </row>
    <row r="40" spans="4:21" x14ac:dyDescent="0.2">
      <c r="K40" s="97"/>
      <c r="L40" s="97"/>
      <c r="M40" s="97"/>
      <c r="N40" s="89"/>
      <c r="O40" s="89"/>
      <c r="P40" s="89"/>
      <c r="Q40" s="96"/>
      <c r="R40" s="96"/>
      <c r="S40" s="89"/>
      <c r="T40" s="89"/>
      <c r="U40" s="92"/>
    </row>
    <row r="41" spans="4:21" x14ac:dyDescent="0.2">
      <c r="K41" s="97"/>
      <c r="L41" s="97"/>
      <c r="M41" s="97"/>
      <c r="N41" s="89"/>
      <c r="O41" s="89"/>
      <c r="P41" s="89"/>
      <c r="Q41" s="96"/>
      <c r="R41" s="96"/>
      <c r="S41" s="89"/>
      <c r="T41" s="93"/>
      <c r="U41" s="89"/>
    </row>
    <row r="42" spans="4:21" x14ac:dyDescent="0.2">
      <c r="K42" s="97"/>
      <c r="L42" s="97"/>
      <c r="M42" s="97"/>
      <c r="N42" s="89"/>
      <c r="O42" s="89"/>
      <c r="P42" s="89"/>
      <c r="Q42" s="96"/>
      <c r="R42" s="96"/>
      <c r="S42" s="89"/>
      <c r="T42" s="89"/>
      <c r="U42" s="89"/>
    </row>
    <row r="43" spans="4:21" x14ac:dyDescent="0.2">
      <c r="K43" s="97"/>
      <c r="L43" s="97"/>
      <c r="M43" s="97"/>
      <c r="N43" s="89"/>
      <c r="O43" s="89"/>
      <c r="P43" s="89"/>
      <c r="Q43" s="96"/>
      <c r="R43" s="96"/>
      <c r="S43" s="89"/>
      <c r="T43" s="96"/>
      <c r="U43" s="89"/>
    </row>
    <row r="44" spans="4:21" x14ac:dyDescent="0.2">
      <c r="K44" s="97"/>
      <c r="L44" s="97"/>
      <c r="M44" s="97"/>
      <c r="N44" s="89"/>
      <c r="O44" s="89"/>
      <c r="P44" s="89"/>
      <c r="Q44" s="96"/>
      <c r="R44" s="96"/>
      <c r="S44" s="89"/>
      <c r="T44" s="89"/>
      <c r="U44" s="89"/>
    </row>
    <row r="45" spans="4:21" x14ac:dyDescent="0.2">
      <c r="K45" s="97"/>
      <c r="L45" s="97"/>
      <c r="M45" s="97"/>
      <c r="N45" s="89"/>
      <c r="O45" s="89"/>
      <c r="P45" s="89"/>
      <c r="Q45" s="89"/>
      <c r="R45" s="89"/>
      <c r="S45" s="89"/>
      <c r="T45" s="89"/>
      <c r="U45" s="89"/>
    </row>
    <row r="46" spans="4:21" x14ac:dyDescent="0.2">
      <c r="K46" s="97"/>
      <c r="L46" s="97"/>
      <c r="M46" s="97"/>
      <c r="N46" s="89"/>
      <c r="O46" s="89"/>
      <c r="P46" s="89"/>
      <c r="Q46" s="89"/>
      <c r="R46" s="89"/>
      <c r="S46" s="89"/>
      <c r="T46" s="89"/>
      <c r="U46" s="89"/>
    </row>
    <row r="47" spans="4:21" x14ac:dyDescent="0.2">
      <c r="K47" s="97"/>
      <c r="L47" s="97"/>
      <c r="M47" s="97"/>
      <c r="N47" s="89"/>
      <c r="O47" s="89"/>
      <c r="P47" s="89"/>
      <c r="Q47" s="89"/>
      <c r="R47" s="89"/>
      <c r="S47" s="89"/>
      <c r="T47" s="89"/>
      <c r="U47" s="89"/>
    </row>
    <row r="48" spans="4:21" x14ac:dyDescent="0.2">
      <c r="D48" s="89"/>
      <c r="E48" s="93"/>
      <c r="F48" s="93"/>
      <c r="G48" s="96"/>
      <c r="H48" s="95"/>
      <c r="I48" s="95"/>
      <c r="J48" s="95"/>
      <c r="K48" s="97"/>
      <c r="L48" s="97"/>
      <c r="M48" s="97"/>
      <c r="N48" s="89"/>
      <c r="O48" s="89"/>
      <c r="P48" s="89"/>
      <c r="Q48" s="89"/>
      <c r="R48" s="89"/>
      <c r="S48" s="89"/>
      <c r="T48" s="89"/>
      <c r="U48" s="89"/>
    </row>
    <row r="49" spans="4:13" x14ac:dyDescent="0.2">
      <c r="D49" s="89"/>
      <c r="E49" s="89"/>
      <c r="F49" s="89"/>
      <c r="G49" s="89"/>
      <c r="H49" s="100"/>
      <c r="I49" s="100"/>
      <c r="J49" s="100"/>
      <c r="K49" s="89"/>
      <c r="L49" s="89"/>
      <c r="M49" s="89"/>
    </row>
  </sheetData>
  <sortState xmlns:xlrd2="http://schemas.microsoft.com/office/spreadsheetml/2017/richdata2" ref="D6:M16">
    <sortCondition descending="1" ref="J6:J16"/>
    <sortCondition descending="1" ref="I6:I16"/>
    <sortCondition descending="1" ref="L6:L16"/>
  </sortState>
  <mergeCells count="3">
    <mergeCell ref="E4:F4"/>
    <mergeCell ref="I4:J4"/>
    <mergeCell ref="G4:H4"/>
  </mergeCells>
  <conditionalFormatting sqref="L48">
    <cfRule type="colorScale" priority="31">
      <colorScale>
        <cfvo type="min"/>
        <cfvo type="percentile" val="50"/>
        <cfvo type="max"/>
        <color theme="0"/>
        <color theme="0"/>
        <color theme="2" tint="-0.499984740745262"/>
      </colorScale>
    </cfRule>
  </conditionalFormatting>
  <conditionalFormatting sqref="K48">
    <cfRule type="colorScale" priority="30">
      <colorScale>
        <cfvo type="min"/>
        <cfvo type="percentile" val="50"/>
        <cfvo type="max"/>
        <color theme="0"/>
        <color theme="0"/>
        <color rgb="FF002060"/>
      </colorScale>
    </cfRule>
  </conditionalFormatting>
  <conditionalFormatting sqref="M48">
    <cfRule type="colorScale" priority="29">
      <colorScale>
        <cfvo type="min"/>
        <cfvo type="percentile" val="50"/>
        <cfvo type="max"/>
        <color theme="0"/>
        <color theme="0"/>
        <color rgb="FFC00000"/>
      </colorScale>
    </cfRule>
  </conditionalFormatting>
  <conditionalFormatting sqref="AD6:AD15">
    <cfRule type="aboveAverage" dxfId="1" priority="28"/>
  </conditionalFormatting>
  <conditionalFormatting sqref="AE6:AE15">
    <cfRule type="aboveAverage" dxfId="0" priority="27"/>
  </conditionalFormatting>
  <conditionalFormatting sqref="M26:M35">
    <cfRule type="colorScale" priority="26">
      <colorScale>
        <cfvo type="min"/>
        <cfvo type="percentile" val="50"/>
        <cfvo type="max"/>
        <color theme="0"/>
        <color theme="0"/>
        <color theme="2" tint="-0.499984740745262"/>
      </colorScale>
    </cfRule>
  </conditionalFormatting>
  <conditionalFormatting sqref="N25:N34">
    <cfRule type="colorScale" priority="24">
      <colorScale>
        <cfvo type="min"/>
        <cfvo type="percentile" val="50"/>
        <cfvo type="max"/>
        <color theme="0"/>
        <color theme="0"/>
        <color rgb="FFC00000"/>
      </colorScale>
    </cfRule>
  </conditionalFormatting>
  <conditionalFormatting sqref="L38:L47">
    <cfRule type="colorScale" priority="23">
      <colorScale>
        <cfvo type="min"/>
        <cfvo type="percentile" val="50"/>
        <cfvo type="max"/>
        <color theme="0"/>
        <color theme="0"/>
        <color theme="2" tint="-0.499984740745262"/>
      </colorScale>
    </cfRule>
  </conditionalFormatting>
  <conditionalFormatting sqref="K38:K47">
    <cfRule type="colorScale" priority="22">
      <colorScale>
        <cfvo type="min"/>
        <cfvo type="percentile" val="50"/>
        <cfvo type="max"/>
        <color theme="0"/>
        <color theme="0"/>
        <color rgb="FF002060"/>
      </colorScale>
    </cfRule>
  </conditionalFormatting>
  <conditionalFormatting sqref="M38:M47 N38">
    <cfRule type="colorScale" priority="21">
      <colorScale>
        <cfvo type="min"/>
        <cfvo type="percentile" val="50"/>
        <cfvo type="max"/>
        <color theme="0"/>
        <color theme="0"/>
        <color rgb="FFC00000"/>
      </colorScale>
    </cfRule>
  </conditionalFormatting>
  <conditionalFormatting sqref="M6:M16">
    <cfRule type="colorScale" priority="98">
      <colorScale>
        <cfvo type="min"/>
        <cfvo type="percentile" val="50"/>
        <cfvo type="max"/>
        <color theme="0"/>
        <color theme="0"/>
        <color rgb="FFFF0000"/>
      </colorScale>
    </cfRule>
  </conditionalFormatting>
  <conditionalFormatting sqref="K6:K16">
    <cfRule type="colorScale" priority="104">
      <colorScale>
        <cfvo type="min"/>
        <cfvo type="percentile" val="50"/>
        <cfvo type="max"/>
        <color theme="0"/>
        <color theme="0"/>
        <color rgb="FF00B0F0"/>
      </colorScale>
    </cfRule>
  </conditionalFormatting>
  <conditionalFormatting sqref="L6:L16">
    <cfRule type="colorScale" priority="106">
      <colorScale>
        <cfvo type="min"/>
        <cfvo type="percentile" val="50"/>
        <cfvo type="max"/>
        <color theme="0"/>
        <color theme="0"/>
        <color rgb="FF00B0F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fresh_1">
                <anchor moveWithCells="1" sizeWithCells="1">
                  <from>
                    <xdr:col>0</xdr:col>
                    <xdr:colOff>431800</xdr:colOff>
                    <xdr:row>2</xdr:row>
                    <xdr:rowOff>0</xdr:rowOff>
                  </from>
                  <to>
                    <xdr:col>2</xdr:col>
                    <xdr:colOff>304800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Unhide_All_Sheets">
                <anchor moveWithCells="1" sizeWithCells="1">
                  <from>
                    <xdr:col>2</xdr:col>
                    <xdr:colOff>800100</xdr:colOff>
                    <xdr:row>27</xdr:row>
                    <xdr:rowOff>63500</xdr:rowOff>
                  </from>
                  <to>
                    <xdr:col>4</xdr:col>
                    <xdr:colOff>127000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hide_sheets">
                <anchor moveWithCells="1" sizeWithCells="1">
                  <from>
                    <xdr:col>2</xdr:col>
                    <xdr:colOff>787400</xdr:colOff>
                    <xdr:row>29</xdr:row>
                    <xdr:rowOff>152400</xdr:rowOff>
                  </from>
                  <to>
                    <xdr:col>4</xdr:col>
                    <xdr:colOff>114300</xdr:colOff>
                    <xdr:row>31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ISL 8</vt:lpstr>
      <vt:lpstr>ISL Total</vt:lpstr>
      <vt:lpstr>Monte Carlo Matches</vt:lpstr>
      <vt:lpstr>Monte Carlo Season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Ravi</cp:lastModifiedBy>
  <dcterms:created xsi:type="dcterms:W3CDTF">2017-12-18T06:57:52Z</dcterms:created>
  <dcterms:modified xsi:type="dcterms:W3CDTF">2022-02-03T16:42:02Z</dcterms:modified>
</cp:coreProperties>
</file>